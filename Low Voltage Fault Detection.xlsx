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uttercup\Downloads\"/>
    </mc:Choice>
  </mc:AlternateContent>
  <xr:revisionPtr revIDLastSave="0" documentId="8_{B3529A21-0CFD-4986-84CB-EEBBF7CE5EC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Engineering AC Model" sheetId="1" r:id="rId1"/>
    <sheet name="Conductors" sheetId="2" r:id="rId2"/>
    <sheet name="Line Setup" sheetId="3" r:id="rId3"/>
    <sheet name="Fault Locator" sheetId="4" r:id="rId4"/>
    <sheet name="Conductor Compare" sheetId="5" r:id="rId5"/>
    <sheet name="Project Notes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23" i="5" l="1"/>
  <c r="A22" i="5"/>
  <c r="A21" i="5"/>
  <c r="A20" i="5"/>
  <c r="A19" i="5"/>
  <c r="H18" i="5"/>
  <c r="G18" i="5"/>
  <c r="F18" i="5"/>
  <c r="E18" i="5"/>
  <c r="D18" i="5"/>
  <c r="C18" i="5"/>
  <c r="C15" i="5"/>
  <c r="B15" i="5"/>
  <c r="A15" i="5"/>
  <c r="C14" i="5"/>
  <c r="B14" i="5"/>
  <c r="A14" i="5"/>
  <c r="C13" i="5"/>
  <c r="B13" i="5"/>
  <c r="A13" i="5"/>
  <c r="C12" i="5"/>
  <c r="B12" i="5"/>
  <c r="A12" i="5"/>
  <c r="C11" i="5"/>
  <c r="B11" i="5"/>
  <c r="A11" i="5"/>
  <c r="C10" i="5"/>
  <c r="B10" i="5"/>
  <c r="A10" i="5"/>
  <c r="E22" i="4"/>
  <c r="A22" i="4"/>
  <c r="E21" i="4"/>
  <c r="A21" i="4"/>
  <c r="E20" i="4"/>
  <c r="A20" i="4"/>
  <c r="E19" i="4"/>
  <c r="A19" i="4"/>
  <c r="E18" i="4"/>
  <c r="A18" i="4"/>
  <c r="B14" i="4"/>
  <c r="B13" i="4"/>
  <c r="B4" i="5" s="1"/>
  <c r="B7" i="4"/>
  <c r="B32" i="3"/>
  <c r="F23" i="3"/>
  <c r="D23" i="3"/>
  <c r="F22" i="3"/>
  <c r="D22" i="3"/>
  <c r="F21" i="3"/>
  <c r="D21" i="3"/>
  <c r="F20" i="3"/>
  <c r="D20" i="3"/>
  <c r="F19" i="3"/>
  <c r="D19" i="3"/>
  <c r="D10" i="2"/>
  <c r="D9" i="2"/>
  <c r="D8" i="2"/>
  <c r="D7" i="2"/>
  <c r="D6" i="2"/>
  <c r="D5" i="2"/>
  <c r="E20" i="1"/>
  <c r="D20" i="1"/>
  <c r="C20" i="1"/>
  <c r="G20" i="1" s="1"/>
  <c r="H20" i="1" s="1"/>
  <c r="E19" i="1"/>
  <c r="D19" i="1"/>
  <c r="C19" i="1"/>
  <c r="G19" i="1" s="1"/>
  <c r="H19" i="1" s="1"/>
  <c r="E18" i="1"/>
  <c r="D18" i="1"/>
  <c r="C18" i="1"/>
  <c r="G18" i="1" s="1"/>
  <c r="H18" i="1" s="1"/>
  <c r="E17" i="1"/>
  <c r="D17" i="1"/>
  <c r="C17" i="1"/>
  <c r="G17" i="1" s="1"/>
  <c r="H17" i="1" s="1"/>
  <c r="E16" i="1"/>
  <c r="D16" i="1"/>
  <c r="C16" i="1"/>
  <c r="G16" i="1" s="1"/>
  <c r="H16" i="1" s="1"/>
  <c r="E15" i="1"/>
  <c r="D15" i="1"/>
  <c r="C15" i="1"/>
  <c r="G15" i="1" s="1"/>
  <c r="H15" i="1" s="1"/>
  <c r="E14" i="1"/>
  <c r="D14" i="1"/>
  <c r="C14" i="1"/>
  <c r="G14" i="1" s="1"/>
  <c r="H14" i="1" s="1"/>
  <c r="E13" i="1"/>
  <c r="D13" i="1"/>
  <c r="C13" i="1"/>
  <c r="G13" i="1" s="1"/>
  <c r="H13" i="1" s="1"/>
  <c r="E12" i="1"/>
  <c r="D12" i="1"/>
  <c r="C12" i="1"/>
  <c r="G12" i="1" s="1"/>
  <c r="H12" i="1" s="1"/>
  <c r="E11" i="1"/>
  <c r="D11" i="1"/>
  <c r="C11" i="1"/>
  <c r="B7" i="1"/>
  <c r="B22" i="4" l="1"/>
  <c r="G23" i="3"/>
  <c r="C22" i="4"/>
  <c r="E23" i="3"/>
  <c r="D22" i="4" s="1"/>
  <c r="B21" i="4"/>
  <c r="G22" i="3"/>
  <c r="C21" i="4"/>
  <c r="E22" i="3"/>
  <c r="D21" i="4" s="1"/>
  <c r="B20" i="4"/>
  <c r="G21" i="3"/>
  <c r="C20" i="4"/>
  <c r="E21" i="3"/>
  <c r="D20" i="4" s="1"/>
  <c r="B19" i="4"/>
  <c r="G20" i="3"/>
  <c r="C19" i="4"/>
  <c r="E20" i="3"/>
  <c r="D19" i="4" s="1"/>
  <c r="B31" i="3"/>
  <c r="B27" i="3"/>
  <c r="B8" i="4" s="1"/>
  <c r="B18" i="4"/>
  <c r="G19" i="3"/>
  <c r="C18" i="4"/>
  <c r="E19" i="3"/>
  <c r="D18" i="4" s="1"/>
  <c r="P17" i="1"/>
  <c r="P16" i="1"/>
  <c r="P20" i="1"/>
  <c r="P15" i="1"/>
  <c r="P14" i="1"/>
  <c r="P13" i="1"/>
  <c r="P12" i="1"/>
  <c r="P19" i="1"/>
  <c r="P11" i="1"/>
  <c r="N11" i="1"/>
  <c r="N12" i="1" s="1"/>
  <c r="N13" i="1" s="1"/>
  <c r="N14" i="1" s="1"/>
  <c r="N15" i="1" s="1"/>
  <c r="N16" i="1" s="1"/>
  <c r="N17" i="1" s="1"/>
  <c r="N18" i="1" s="1"/>
  <c r="N19" i="1" s="1"/>
  <c r="N20" i="1" s="1"/>
  <c r="P18" i="1"/>
  <c r="O11" i="1"/>
  <c r="O19" i="1"/>
  <c r="O20" i="1"/>
  <c r="O15" i="1"/>
  <c r="O14" i="1"/>
  <c r="O13" i="1"/>
  <c r="O18" i="1"/>
  <c r="O12" i="1"/>
  <c r="F11" i="1"/>
  <c r="F12" i="1" s="1"/>
  <c r="F13" i="1" s="1"/>
  <c r="F14" i="1" s="1"/>
  <c r="F15" i="1" s="1"/>
  <c r="F16" i="1" s="1"/>
  <c r="F17" i="1" s="1"/>
  <c r="F18" i="1" s="1"/>
  <c r="F19" i="1" s="1"/>
  <c r="F20" i="1" s="1"/>
  <c r="O17" i="1"/>
  <c r="O16" i="1"/>
  <c r="G11" i="1"/>
  <c r="Q15" i="1"/>
  <c r="K15" i="1"/>
  <c r="Q14" i="1"/>
  <c r="K14" i="1"/>
  <c r="Q19" i="1"/>
  <c r="K19" i="1" s="1"/>
  <c r="Q13" i="1"/>
  <c r="Q17" i="1"/>
  <c r="K17" i="1" s="1"/>
  <c r="B3" i="3"/>
  <c r="B28" i="3" s="1"/>
  <c r="K13" i="1"/>
  <c r="Q20" i="1"/>
  <c r="Q12" i="1"/>
  <c r="Q16" i="1"/>
  <c r="K20" i="1"/>
  <c r="Q18" i="1"/>
  <c r="K18" i="1" s="1"/>
  <c r="Q11" i="1"/>
  <c r="K16" i="1"/>
  <c r="K11" i="1"/>
  <c r="J11" i="1"/>
  <c r="K12" i="1"/>
  <c r="F22" i="4" l="1"/>
  <c r="G22" i="4"/>
  <c r="H22" i="4"/>
  <c r="J22" i="4"/>
  <c r="B5" i="5"/>
  <c r="H23" i="3"/>
  <c r="B23" i="5"/>
  <c r="F21" i="4"/>
  <c r="G21" i="4"/>
  <c r="H21" i="4"/>
  <c r="J21" i="4"/>
  <c r="H22" i="3"/>
  <c r="B22" i="5"/>
  <c r="F20" i="4"/>
  <c r="G20" i="4"/>
  <c r="H20" i="4"/>
  <c r="J20" i="4"/>
  <c r="H21" i="3"/>
  <c r="B21" i="5"/>
  <c r="F19" i="4"/>
  <c r="G19" i="4"/>
  <c r="H19" i="4"/>
  <c r="J19" i="4"/>
  <c r="H20" i="3"/>
  <c r="B20" i="5"/>
  <c r="B9" i="4"/>
  <c r="B12" i="4" s="1"/>
  <c r="B10" i="4"/>
  <c r="B11" i="4" s="1"/>
  <c r="B30" i="4"/>
  <c r="F18" i="4"/>
  <c r="G18" i="4"/>
  <c r="H18" i="4"/>
  <c r="I18" i="4"/>
  <c r="J18" i="4"/>
  <c r="H19" i="3"/>
  <c r="B19" i="5"/>
  <c r="H11" i="1"/>
  <c r="I11" i="1"/>
  <c r="I12" i="1"/>
  <c r="L19" i="1"/>
  <c r="M19" i="1"/>
  <c r="L17" i="1"/>
  <c r="M17" i="1"/>
  <c r="L15" i="1"/>
  <c r="M15" i="1"/>
  <c r="L14" i="1"/>
  <c r="M14" i="1"/>
  <c r="L18" i="1"/>
  <c r="M18" i="1"/>
  <c r="B29" i="3"/>
  <c r="B30" i="3"/>
  <c r="L13" i="1"/>
  <c r="M13" i="1"/>
  <c r="L20" i="1"/>
  <c r="M20" i="1"/>
  <c r="L16" i="1"/>
  <c r="M16" i="1"/>
  <c r="L11" i="1"/>
  <c r="M11" i="1"/>
  <c r="L12" i="1"/>
  <c r="M12" i="1"/>
  <c r="C23" i="5" l="1"/>
  <c r="D23" i="5"/>
  <c r="E23" i="5"/>
  <c r="F23" i="5"/>
  <c r="G23" i="5"/>
  <c r="H23" i="5"/>
  <c r="C22" i="5"/>
  <c r="D22" i="5"/>
  <c r="E22" i="5"/>
  <c r="F22" i="5"/>
  <c r="G22" i="5"/>
  <c r="H22" i="5"/>
  <c r="C21" i="5"/>
  <c r="D21" i="5"/>
  <c r="E21" i="5"/>
  <c r="F21" i="5"/>
  <c r="G21" i="5"/>
  <c r="H21" i="5"/>
  <c r="C20" i="5"/>
  <c r="D20" i="5"/>
  <c r="E20" i="5"/>
  <c r="F20" i="5"/>
  <c r="G20" i="5"/>
  <c r="H20" i="5"/>
  <c r="B25" i="4"/>
  <c r="B26" i="4"/>
  <c r="B29" i="4"/>
  <c r="B31" i="4"/>
  <c r="B6" i="5"/>
  <c r="C19" i="5"/>
  <c r="D19" i="5"/>
  <c r="E19" i="5"/>
  <c r="F19" i="5"/>
  <c r="G19" i="5"/>
  <c r="H19" i="5"/>
  <c r="J12" i="1"/>
  <c r="I13" i="1"/>
  <c r="I19" i="4"/>
  <c r="D10" i="5" l="1"/>
  <c r="F10" i="5" s="1"/>
  <c r="E10" i="5"/>
  <c r="D11" i="5"/>
  <c r="F11" i="5" s="1"/>
  <c r="E11" i="5"/>
  <c r="D12" i="5"/>
  <c r="F12" i="5" s="1"/>
  <c r="E12" i="5"/>
  <c r="D13" i="5"/>
  <c r="F13" i="5" s="1"/>
  <c r="E13" i="5"/>
  <c r="D14" i="5"/>
  <c r="F14" i="5" s="1"/>
  <c r="E14" i="5"/>
  <c r="D15" i="5"/>
  <c r="F15" i="5" s="1"/>
  <c r="E15" i="5"/>
  <c r="J13" i="1"/>
  <c r="I14" i="1"/>
  <c r="I20" i="4"/>
  <c r="J14" i="1" l="1"/>
  <c r="I15" i="1"/>
  <c r="I21" i="4"/>
  <c r="J15" i="1" l="1"/>
  <c r="I16" i="1"/>
  <c r="I22" i="4"/>
  <c r="B27" i="4" s="1"/>
  <c r="B28" i="4" s="1"/>
  <c r="J16" i="1" l="1"/>
  <c r="I17" i="1"/>
  <c r="J17" i="1" l="1"/>
  <c r="I18" i="1"/>
  <c r="J18" i="1" l="1"/>
  <c r="I19" i="1"/>
  <c r="J19" i="1" l="1"/>
  <c r="I20" i="1"/>
  <c r="J20" i="1" s="1"/>
</calcChain>
</file>

<file path=xl/sharedStrings.xml><?xml version="1.0" encoding="utf-8"?>
<sst xmlns="http://schemas.openxmlformats.org/spreadsheetml/2006/main" count="177" uniqueCount="161">
  <si>
    <t>Transmission Line Complex Impedance and Power Calculations</t>
  </si>
  <si>
    <t>Frequency f (Hz)</t>
  </si>
  <si>
    <t>Frequency</t>
  </si>
  <si>
    <t>Resistance R (Ω)</t>
  </si>
  <si>
    <t>R2 Var (Ω)</t>
  </si>
  <si>
    <t>R6 Var (Ω)</t>
  </si>
  <si>
    <t>Inductance L (H)</t>
  </si>
  <si>
    <t>L2 Var (H)</t>
  </si>
  <si>
    <t>L6 Var (H)</t>
  </si>
  <si>
    <t>Capacitance C (F)</t>
  </si>
  <si>
    <t>R4 Var (Ω)</t>
  </si>
  <si>
    <t>R8 Var (Ω)</t>
  </si>
  <si>
    <t>Supply Voltage V (V)</t>
  </si>
  <si>
    <t>L4 Var (H)</t>
  </si>
  <si>
    <t>L8 Var (H)</t>
  </si>
  <si>
    <t>Section</t>
  </si>
  <si>
    <t>Length (m)</t>
  </si>
  <si>
    <t>R (Ω)</t>
  </si>
  <si>
    <t>X_L = +jωL (Ω)</t>
  </si>
  <si>
    <t>X_C = -j/ωC (Ω)</t>
  </si>
  <si>
    <t>RTOTAL (Ω)</t>
  </si>
  <si>
    <t>Complex Z = R + jX</t>
  </si>
  <si>
    <t>|Z| Magnitude (Ω)</t>
  </si>
  <si>
    <t xml:space="preserve"> TOTAL IMPEDANCE(a+bi)</t>
  </si>
  <si>
    <t>Current I = V/|Z| (A)</t>
  </si>
  <si>
    <t>Apparent Power S (VA)</t>
  </si>
  <si>
    <t>Real Power P (W)</t>
  </si>
  <si>
    <t>Reactive Power Q (VAR)</t>
  </si>
  <si>
    <t>jXl</t>
  </si>
  <si>
    <t>|Z_RL| (Ω)</t>
  </si>
  <si>
    <t>Angle_RL (deg)</t>
  </si>
  <si>
    <t>Expected Fault Current (A)</t>
  </si>
  <si>
    <t>Engineering Equations</t>
  </si>
  <si>
    <t>X_L = 2πfL</t>
  </si>
  <si>
    <t>X_C = -1/(2πfC)</t>
  </si>
  <si>
    <t>X = X_L - X_C</t>
  </si>
  <si>
    <t>Z = R + jX</t>
  </si>
  <si>
    <t>|Z| = √(R² + X²)</t>
  </si>
  <si>
    <t>θ = tan⁻¹(X/R)</t>
  </si>
  <si>
    <t>I = V/|Z|</t>
  </si>
  <si>
    <t>S = VI</t>
  </si>
  <si>
    <t>P = S cosθ</t>
  </si>
  <si>
    <t>Q = S sinθ</t>
  </si>
  <si>
    <t>ACSR Conductor Library</t>
  </si>
  <si>
    <t>Source: CONDUCTORS[] table in the ESP32 firmware (lvfd_v7.ino); values supplied by the user. Resistance only (no reactance), as in the firmware.</t>
  </si>
  <si>
    <t>Conductor</t>
  </si>
  <si>
    <t>Area (mm²)</t>
  </si>
  <si>
    <t>Resistance (Ω/km)</t>
  </si>
  <si>
    <t>Firmware index</t>
  </si>
  <si>
    <t>MOLE</t>
  </si>
  <si>
    <t>RABBIT</t>
  </si>
  <si>
    <t>DOG</t>
  </si>
  <si>
    <t>WOLF</t>
  </si>
  <si>
    <t>CANARY</t>
  </si>
  <si>
    <t>ZEBRA</t>
  </si>
  <si>
    <t>Add or edit conductors in the blue cells. Keep the order identical to the firmware catalog (the index is what the dashboard sends).</t>
  </si>
  <si>
    <t>Line Setup, Conductor Selection and Detection Thresholds</t>
  </si>
  <si>
    <t>Blue = input. Choose a whole-line conductor, then override individual sections if the line is mixed (same idea as the dashboard).</t>
  </si>
  <si>
    <t>Supply voltage V (V rms)</t>
  </si>
  <si>
    <t>Linked to 'Engineering AC Model'!B7</t>
  </si>
  <si>
    <t>Load resistance R_load (Ω)</t>
  </si>
  <si>
    <t>LOAD_R in the firmware (user-supplied)</t>
  </si>
  <si>
    <t>Sensor position (sensor is after section n, 0-4)</t>
  </si>
  <si>
    <t>0 = sensor at the source, sees all 5 sections</t>
  </si>
  <si>
    <t>Fault loop factor</t>
  </si>
  <si>
    <t>1.0 = one-way; 2.0 = line-to-line loop (FAULT_LOOP_FACTOR)</t>
  </si>
  <si>
    <t>Whole-line conductor</t>
  </si>
  <si>
    <t>Used by every section that has no override below</t>
  </si>
  <si>
    <t>Detection thresholds (ESP32 firmware constants)</t>
  </si>
  <si>
    <t>Minimum short-circuit current (A)</t>
  </si>
  <si>
    <t>MIN_FAULT_CURRENT_A (copied from the firmware)</t>
  </si>
  <si>
    <t>Short-circuit margin (x expected healthy current)</t>
  </si>
  <si>
    <t>FAULT_MARGIN (copied from the firmware)</t>
  </si>
  <si>
    <t>Fast-trip minimum current (A)</t>
  </si>
  <si>
    <t>FAST_TRIP_MIN_A (copied from the firmware)</t>
  </si>
  <si>
    <t>Fast-trip margin (x expected healthy current)</t>
  </si>
  <si>
    <t>FAST_TRIP_MARGIN (copied from the firmware)</t>
  </si>
  <si>
    <t>Minimum current for a valid Z (A)</t>
  </si>
  <si>
    <t>MIN_Z_CURRENT_A (copied from the firmware)</t>
  </si>
  <si>
    <t>Supply-lost voltage (V)</t>
  </si>
  <si>
    <t>SUPPLY_LOST_V (copied from the firmware)</t>
  </si>
  <si>
    <t>Section table</t>
  </si>
  <si>
    <t>Section R (Ω)</t>
  </si>
  <si>
    <t>Conductor override (optional)</t>
  </si>
  <si>
    <t>Conductor used</t>
  </si>
  <si>
    <t>Seen by sensor? (1/0)</t>
  </si>
  <si>
    <t>Z from sensor to section end (Ω)</t>
  </si>
  <si>
    <t>Fault current at section end (A) = V / Z</t>
  </si>
  <si>
    <t>Section R = known impedance of each section (27 Ω lab resistor per section, user-supplied). Column G is the Z a fault at the end of that section would show.</t>
  </si>
  <si>
    <t>Healthy line as seen by the sensor (at the nominal supply voltage)</t>
  </si>
  <si>
    <t>Healthy impedance Σ R + R_load (Ω)</t>
  </si>
  <si>
    <t>Expected healthy current (A) = V / Z</t>
  </si>
  <si>
    <t>Short-circuit threshold (A)</t>
  </si>
  <si>
    <t>Fast-trip threshold (A)</t>
  </si>
  <si>
    <t>Sections monitored</t>
  </si>
  <si>
    <t>Coverage</t>
  </si>
  <si>
    <t>Fault Locator: Measured V and I -&gt; Fault Impedance -&gt; Distance</t>
  </si>
  <si>
    <t>Same method as the ESP32: Z = V / I, then the impedance is used up section by section, each converted to km with ITS OWN conductor Ω/km. No line length is assumed.</t>
  </si>
  <si>
    <t>Measured voltage V (V rms)</t>
  </si>
  <si>
    <t>Example value - overwrite with the dashboard LIVE reading</t>
  </si>
  <si>
    <t>Measured current I (A rms)</t>
  </si>
  <si>
    <t>Supply present?</t>
  </si>
  <si>
    <t>Expected healthy current (A)</t>
  </si>
  <si>
    <t>System state</t>
  </si>
  <si>
    <t>Fault detected? (1 = yes)</t>
  </si>
  <si>
    <t>Fault impedance Z = V / I (Ω)</t>
  </si>
  <si>
    <t>Z valid? (I above minimum)</t>
  </si>
  <si>
    <t>Section-by-section walk (impedance -&gt; km, per conductor)</t>
  </si>
  <si>
    <t>Seen by sensor?</t>
  </si>
  <si>
    <t>Z at start of section (Ω)</t>
  </si>
  <si>
    <t>Z used in this section (Ω)</t>
  </si>
  <si>
    <t>Distance in this section (km)</t>
  </si>
  <si>
    <t>Fault in this section? (1/0)</t>
  </si>
  <si>
    <t>|Z - Z at section end| (Ω)</t>
  </si>
  <si>
    <t>Result</t>
  </si>
  <si>
    <t>Fault distance from sensor (km)</t>
  </si>
  <si>
    <t>Fault distance from sensor (m)</t>
  </si>
  <si>
    <t>Fault lies in section</t>
  </si>
  <si>
    <t>Conductor in that section</t>
  </si>
  <si>
    <t>Nearest section end (legacy ESP32 section no.)</t>
  </si>
  <si>
    <t>Measured current / expected healthy current</t>
  </si>
  <si>
    <t>Z larger than the whole monitored line?</t>
  </si>
  <si>
    <t>Distance = sum over sections of (Z used in section / that section's Ω/km x loop factor). With one conductor type this equals Z / (Ω/km x loop factor).</t>
  </si>
  <si>
    <t>Conductor Comparison</t>
  </si>
  <si>
    <t>Distance to the fault if the whole line were one conductor type, using the fault impedance from the Fault Locator sheet.</t>
  </si>
  <si>
    <t>Fault impedance Z (Ω)</t>
  </si>
  <si>
    <t>Z limited to the monitored line (Ω)</t>
  </si>
  <si>
    <t>Z beyond the last section end is clamped, as in the firmware</t>
  </si>
  <si>
    <t>Same fault impedance, uniform line of each conductor</t>
  </si>
  <si>
    <t>Distance to fault (km)</t>
  </si>
  <si>
    <t>Distance to fault (m)</t>
  </si>
  <si>
    <t>Difference vs. Line Setup (km)</t>
  </si>
  <si>
    <t>Distance to a fault at the end of each section (km), uniform line of each conductor</t>
  </si>
  <si>
    <t>Project Notes: Low Voltage Fault Detector (LVFD) Calculations</t>
  </si>
  <si>
    <t>Sheets</t>
  </si>
  <si>
    <t>Engineering AC Model</t>
  </si>
  <si>
    <t>Original sheet, unchanged: R + jX per section, cumulative impedance, current and power.</t>
  </si>
  <si>
    <t>Conductors</t>
  </si>
  <si>
    <t>ACSR library (Ω/km) used to convert impedance to distance. Same table as the ESP32 firmware.</t>
  </si>
  <si>
    <t>Line Setup</t>
  </si>
  <si>
    <t>Supply, load, sensor position, whole-line conductor and per-section overrides; healthy current and thresholds.</t>
  </si>
  <si>
    <t>Fault Locator</t>
  </si>
  <si>
    <t>Enter measured V and I -&gt; Z = V/I -&gt; distance to the fault, section by section.</t>
  </si>
  <si>
    <t>Conductor Compare</t>
  </si>
  <si>
    <t>Same fault impedance on a uniform line of every conductor type.</t>
  </si>
  <si>
    <t>Method</t>
  </si>
  <si>
    <t>1. Current</t>
  </si>
  <si>
    <t>Healthy current I = V / (Σ R of monitored sections + R_load). Short-circuit threshold = MAX(0.100 A, 1.30 x healthy). Fast trip = MAX(0.300 A, 3.0 x healthy).</t>
  </si>
  <si>
    <t>2. Impedance</t>
  </si>
  <si>
    <t>Fault impedance Z = V / I, measured at the sensor. The known impedance of each section is the Z a fault at its end would show.</t>
  </si>
  <si>
    <t>3. Distance</t>
  </si>
  <si>
    <t>Z is used up section by section starting at the sensor. Each full section adds R_section / (its conductor Ω/km). The section containing the fault adds the Z left / (its conductor Ω/km). The pieces are summed.</t>
  </si>
  <si>
    <t>4. Mixed line</t>
  </si>
  <si>
    <t>Pick a conductor per section on Line Setup. Each section is converted with its own Ω/km, then added. One conductor type reduces to Z / (Ω/km).</t>
  </si>
  <si>
    <t>Assumptions</t>
  </si>
  <si>
    <t>Resistive model</t>
  </si>
  <si>
    <t>The distance method uses resistance only (|Z| = V/I), as the ESP32 does. Reactance is in the original sheet but not used for distance.</t>
  </si>
  <si>
    <t>Line length</t>
  </si>
  <si>
    <t>Total and per-section lengths are not assumed or shown; distance comes only from the measured impedance.</t>
  </si>
  <si>
    <t>Inputs</t>
  </si>
  <si>
    <t>Blue cells are inputs. Section R (27 Ω), load R (460 Ω), thresholds and conductor values were taken from the user's ESP32 firmware. Measured V and I on Fault Locator are example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</si>
</sst>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\.00&quot; µA&quot;"/>
    <numFmt numFmtId="165" formatCode="0.0000"/>
    <numFmt numFmtId="166" formatCode="0.0"/>
    <numFmt numFmtId="167" formatCode="0.000"/>
    <numFmt numFmtId="168" formatCode="0.0\x"/>
  </numFmts>
  <fonts count="8" x14ac:knownFonts="1">
    <font>
      <sz val="11"/>
      <color theme="1"/>
      <name val="Calibri"/>
      <family val="2"/>
      <charset val="1"/>
    </font>
    <font>
      <b/>
      <sz val="14"/>
      <name val="Calibri"/>
      <family val="2"/>
      <charset val="1"/>
    </font>
    <font>
      <b/>
      <sz val="11"/>
      <name val="Calibri"/>
      <family val="2"/>
      <charset val="1"/>
    </font>
    <font>
      <b/>
      <sz val="14"/>
      <name val="Calibri"/>
      <charset val="1"/>
    </font>
    <font>
      <i/>
      <sz val="10"/>
      <color rgb="FF595959"/>
      <name val="Calibri"/>
      <charset val="1"/>
    </font>
    <font>
      <b/>
      <sz val="11"/>
      <name val="Calibri"/>
      <charset val="1"/>
    </font>
    <font>
      <sz val="11"/>
      <color rgb="FF0000FF"/>
      <name val="Calibri"/>
      <charset val="1"/>
    </font>
    <font>
      <sz val="11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7" fillId="0" borderId="0" xfId="0" applyFont="1"/>
    <xf numFmtId="2" fontId="7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5" fillId="0" borderId="0" xfId="0" applyFont="1"/>
    <xf numFmtId="167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167" fontId="7" fillId="0" borderId="0" xfId="0" applyNumberFormat="1" applyFont="1" applyAlignment="1">
      <alignment horizontal="center" vertical="center"/>
    </xf>
    <xf numFmtId="167" fontId="5" fillId="0" borderId="0" xfId="0" applyNumberFormat="1" applyFont="1" applyAlignment="1">
      <alignment horizontal="center" vertical="center"/>
    </xf>
    <xf numFmtId="168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CE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6"/>
  <sheetViews>
    <sheetView tabSelected="1" topLeftCell="E1" zoomScale="83" zoomScaleNormal="83" workbookViewId="0">
      <selection activeCell="E4" sqref="E4"/>
    </sheetView>
  </sheetViews>
  <sheetFormatPr defaultColWidth="8.7109375" defaultRowHeight="15" x14ac:dyDescent="0.25"/>
  <cols>
    <col min="1" max="1" width="55" customWidth="1"/>
    <col min="2" max="2" width="15" customWidth="1"/>
    <col min="3" max="3" width="10" customWidth="1"/>
    <col min="4" max="4" width="22" customWidth="1"/>
    <col min="5" max="5" width="27" customWidth="1"/>
    <col min="6" max="6" width="36" customWidth="1"/>
    <col min="7" max="7" width="53" customWidth="1"/>
    <col min="8" max="8" width="27" customWidth="1"/>
    <col min="9" max="9" width="28" customWidth="1"/>
    <col min="10" max="11" width="26" customWidth="1"/>
    <col min="12" max="13" width="27" customWidth="1"/>
    <col min="14" max="14" width="15.140625" customWidth="1"/>
    <col min="15" max="15" width="12.140625" customWidth="1"/>
    <col min="16" max="16" width="14.28515625" customWidth="1"/>
    <col min="17" max="17" width="16.85546875" customWidth="1"/>
  </cols>
  <sheetData>
    <row r="1" spans="1:19" ht="18.75" customHeight="1" x14ac:dyDescent="0.3">
      <c r="A1" s="1" t="s">
        <v>0</v>
      </c>
    </row>
    <row r="3" spans="1:19" x14ac:dyDescent="0.25">
      <c r="A3" t="s">
        <v>1</v>
      </c>
      <c r="B3" s="2">
        <v>50</v>
      </c>
      <c r="C3" s="2"/>
      <c r="D3" s="2" t="s">
        <v>2</v>
      </c>
      <c r="E3" s="2"/>
    </row>
    <row r="4" spans="1:19" x14ac:dyDescent="0.25">
      <c r="A4" t="s">
        <v>3</v>
      </c>
      <c r="B4" s="2">
        <v>27</v>
      </c>
      <c r="C4" s="2"/>
      <c r="D4" s="2" t="s">
        <v>4</v>
      </c>
      <c r="E4" s="2">
        <v>5</v>
      </c>
      <c r="F4" s="2" t="s">
        <v>5</v>
      </c>
      <c r="G4" s="2">
        <v>5</v>
      </c>
    </row>
    <row r="5" spans="1:19" x14ac:dyDescent="0.25">
      <c r="A5" t="s">
        <v>6</v>
      </c>
      <c r="B5" s="2">
        <v>1E-3</v>
      </c>
      <c r="C5" s="2"/>
      <c r="D5" s="2" t="s">
        <v>7</v>
      </c>
      <c r="E5" s="2">
        <v>1E-3</v>
      </c>
      <c r="F5" s="2" t="s">
        <v>8</v>
      </c>
      <c r="G5" s="2">
        <v>0.01</v>
      </c>
    </row>
    <row r="6" spans="1:19" x14ac:dyDescent="0.25">
      <c r="A6" t="s">
        <v>9</v>
      </c>
      <c r="B6" s="2">
        <v>1E-8</v>
      </c>
      <c r="C6" s="2"/>
      <c r="D6" s="2" t="s">
        <v>10</v>
      </c>
      <c r="E6" s="2">
        <v>5</v>
      </c>
      <c r="F6" s="2" t="s">
        <v>11</v>
      </c>
      <c r="G6" s="2">
        <v>3</v>
      </c>
    </row>
    <row r="7" spans="1:19" x14ac:dyDescent="0.25">
      <c r="A7" t="s">
        <v>12</v>
      </c>
      <c r="B7" s="2" t="str">
        <f>COMPLEX(24,0,"i")</f>
        <v>24</v>
      </c>
      <c r="C7" s="2"/>
      <c r="D7" s="2" t="s">
        <v>13</v>
      </c>
      <c r="E7" s="2">
        <v>1E-3</v>
      </c>
      <c r="F7" s="2" t="s">
        <v>14</v>
      </c>
      <c r="G7" s="2">
        <v>0.01</v>
      </c>
    </row>
    <row r="10" spans="1:19" x14ac:dyDescent="0.25">
      <c r="A10" s="3" t="s">
        <v>15</v>
      </c>
      <c r="B10" s="4" t="s">
        <v>16</v>
      </c>
      <c r="C10" s="4" t="s">
        <v>17</v>
      </c>
      <c r="D10" s="4" t="s">
        <v>18</v>
      </c>
      <c r="E10" s="4" t="s">
        <v>19</v>
      </c>
      <c r="F10" s="4" t="s">
        <v>20</v>
      </c>
      <c r="G10" s="4" t="s">
        <v>21</v>
      </c>
      <c r="H10" s="4" t="s">
        <v>22</v>
      </c>
      <c r="I10" s="4" t="s">
        <v>23</v>
      </c>
      <c r="J10" s="4" t="s">
        <v>24</v>
      </c>
      <c r="K10" s="4" t="s">
        <v>25</v>
      </c>
      <c r="L10" s="4" t="s">
        <v>26</v>
      </c>
      <c r="M10" s="4" t="s">
        <v>27</v>
      </c>
      <c r="N10" s="5" t="s">
        <v>28</v>
      </c>
      <c r="O10" s="5" t="s">
        <v>29</v>
      </c>
      <c r="P10" s="5" t="s">
        <v>30</v>
      </c>
      <c r="Q10" s="5" t="s">
        <v>31</v>
      </c>
      <c r="R10" s="6"/>
      <c r="S10" s="6"/>
    </row>
    <row r="11" spans="1:19" x14ac:dyDescent="0.25">
      <c r="A11">
        <v>1</v>
      </c>
      <c r="B11" s="7">
        <v>1</v>
      </c>
      <c r="C11" s="2">
        <f>$B$4</f>
        <v>27</v>
      </c>
      <c r="D11" s="2">
        <f>2*PI()*$B$3*$B$5</f>
        <v>0.31415926535897931</v>
      </c>
      <c r="E11" s="2">
        <f t="shared" ref="E11:E20" si="0">-1/(2*PI()*$B$3*$B$6)</f>
        <v>-318309.88618379069</v>
      </c>
      <c r="F11" s="2">
        <f>C11</f>
        <v>27</v>
      </c>
      <c r="G11" s="2" t="str">
        <f t="shared" ref="G11:G20" si="1">COMPLEX(C11,D11,"i")</f>
        <v>27+0,314159265358979i</v>
      </c>
      <c r="H11" s="2" t="str">
        <f t="shared" ref="H11:H20" si="2">ROUND(IMABS(G11),3) &amp; "&lt;" &amp; ROUND(DEGREES(IMARGUMENT(G11)),2) &amp; "°"</f>
        <v>27,002&lt;0,67°</v>
      </c>
      <c r="I11" s="2" t="str">
        <f>G11</f>
        <v>27+0,314159265358979i</v>
      </c>
      <c r="J11" s="8" t="str">
        <f>ROUND(IMABS(IMDIV(B7,G11)),3) &amp; "&lt;" &amp; ROUND(DEGREES(IMARGUMENT(IMDIV(B7,G11))),2)</f>
        <v>0,889&lt;-0,67</v>
      </c>
      <c r="K11" s="2" t="str">
        <f>IMPRODUCT(B7,Q11)</f>
        <v>21,3318893677384</v>
      </c>
      <c r="L11" s="9">
        <f>ROUND(K11*COS(RADIANS(DEGREES(ATAN(N11/F11)))),3 )</f>
        <v>21.33</v>
      </c>
      <c r="M11" s="2">
        <f t="shared" ref="M11:M20" si="3">K11*SIN(RADIANS(DEGREES(ATAN(N11/F11))))</f>
        <v>0.24819100326007043</v>
      </c>
      <c r="N11" s="10">
        <f>D11</f>
        <v>0.31415926535897931</v>
      </c>
      <c r="O11" s="10">
        <f>SQRT((SUM($C$11:C11)^2)+(SUM($D$11:D11)^2))</f>
        <v>27.001827642661727</v>
      </c>
      <c r="P11" s="10">
        <f>DEGREES(ATAN(SUM($D$11:D11)/SUM($C$11:C11)))</f>
        <v>0.66663658343923882</v>
      </c>
      <c r="Q11" s="10">
        <f t="shared" ref="Q11:Q20" si="4">$B$7/O11</f>
        <v>0.88882872365576582</v>
      </c>
      <c r="R11" s="2"/>
      <c r="S11" s="2"/>
    </row>
    <row r="12" spans="1:19" x14ac:dyDescent="0.25">
      <c r="A12">
        <v>2</v>
      </c>
      <c r="B12">
        <v>2</v>
      </c>
      <c r="C12" s="2">
        <f>$E$4</f>
        <v>5</v>
      </c>
      <c r="D12" s="2">
        <f>2*PI()*$B$3*$E$5</f>
        <v>0.31415926535897931</v>
      </c>
      <c r="E12" s="2">
        <f t="shared" si="0"/>
        <v>-318309.88618379069</v>
      </c>
      <c r="F12" s="2">
        <f t="shared" ref="F12:F20" si="5">F11+C12</f>
        <v>32</v>
      </c>
      <c r="G12" s="2" t="str">
        <f t="shared" si="1"/>
        <v>5+0,314159265358979i</v>
      </c>
      <c r="H12" s="2" t="str">
        <f t="shared" si="2"/>
        <v>5,01&lt;3,6°</v>
      </c>
      <c r="I12" s="2" t="str">
        <f>IMSUM(G11,G12)</f>
        <v>32+0,628318530717958i</v>
      </c>
      <c r="J12" s="8" t="str">
        <f>ROUND(IMABS(IMDIV(B7,I12)),3) &amp; "&lt;" &amp; ROUND(DEGREES(IMARGUMENT(IMDIV(B7,I12))),2)</f>
        <v>0,75&lt;-1,12</v>
      </c>
      <c r="K12" s="2" t="str">
        <f>IMPRODUCT(B7,Q12)</f>
        <v>17,9965312201632</v>
      </c>
      <c r="L12" s="9">
        <f t="shared" ref="L12:L20" si="6">K12*COS(RADIANS(DEGREES(ATAN(N12/F12))))</f>
        <v>17.993063108794971</v>
      </c>
      <c r="M12" s="2">
        <f t="shared" si="3"/>
        <v>0.35329296798854887</v>
      </c>
      <c r="N12" s="10">
        <f t="shared" ref="N12:N20" si="7">N11+D12</f>
        <v>0.62831853071795862</v>
      </c>
      <c r="O12" s="10">
        <f>SQRT((SUM($C$11:C12)^2)+(SUM($D$11:D12)^2))</f>
        <v>32.006167908327349</v>
      </c>
      <c r="P12" s="10">
        <f>DEGREES(ATAN(SUM($D$11:D12)/SUM($C$11:C12)))</f>
        <v>1.1248554591503317</v>
      </c>
      <c r="Q12" s="10">
        <f t="shared" si="4"/>
        <v>0.74985546750680176</v>
      </c>
      <c r="R12" s="2"/>
      <c r="S12" s="2"/>
    </row>
    <row r="13" spans="1:19" x14ac:dyDescent="0.25">
      <c r="A13">
        <v>3</v>
      </c>
      <c r="B13">
        <v>3</v>
      </c>
      <c r="C13" s="2">
        <f>$B$4</f>
        <v>27</v>
      </c>
      <c r="D13" s="2">
        <f>2*PI()*$B$3*$B$5</f>
        <v>0.31415926535897931</v>
      </c>
      <c r="E13" s="2">
        <f t="shared" si="0"/>
        <v>-318309.88618379069</v>
      </c>
      <c r="F13" s="2">
        <f t="shared" si="5"/>
        <v>59</v>
      </c>
      <c r="G13" s="2" t="str">
        <f t="shared" si="1"/>
        <v>27+0,314159265358979i</v>
      </c>
      <c r="H13" s="2" t="str">
        <f t="shared" si="2"/>
        <v>27,002&lt;0,67°</v>
      </c>
      <c r="I13" s="2" t="str">
        <f t="shared" ref="I13:I20" si="8">IMSUM(I12,G13)</f>
        <v>59+0,942477796076937i</v>
      </c>
      <c r="J13" s="8" t="str">
        <f>ROUND(IMABS(IMDIV(B7,I13)),3) &amp; "&lt;" &amp; ROUND(DEGREES(IMARGUMENT(IMDIV(B7,I13))),2)</f>
        <v>0,407&lt;-0,92</v>
      </c>
      <c r="K13" s="2" t="str">
        <f>IMPRODUCT(B7,Q13)</f>
        <v>9,76146650243066</v>
      </c>
      <c r="L13" s="9">
        <f t="shared" si="6"/>
        <v>9.7602212993167985</v>
      </c>
      <c r="M13" s="2">
        <f t="shared" si="3"/>
        <v>0.15591172643056411</v>
      </c>
      <c r="N13" s="10">
        <f t="shared" si="7"/>
        <v>0.94247779607693793</v>
      </c>
      <c r="O13" s="10">
        <f>SQRT((SUM($C$11:C13)^2)+(SUM($D$11:D13)^2))</f>
        <v>59.007527184216912</v>
      </c>
      <c r="P13" s="10">
        <f>DEGREES(ATAN(SUM($D$11:D13)/SUM($C$11:C13)))</f>
        <v>0.91517639918581606</v>
      </c>
      <c r="Q13" s="10">
        <f t="shared" si="4"/>
        <v>0.40672777093461088</v>
      </c>
      <c r="R13" s="2"/>
      <c r="S13" s="2"/>
    </row>
    <row r="14" spans="1:19" x14ac:dyDescent="0.25">
      <c r="A14">
        <v>4</v>
      </c>
      <c r="B14">
        <v>4</v>
      </c>
      <c r="C14" s="2">
        <f>$E$6</f>
        <v>5</v>
      </c>
      <c r="D14" s="2">
        <f>2*PI()*$B$3*$E$7</f>
        <v>0.31415926535897931</v>
      </c>
      <c r="E14" s="2">
        <f t="shared" si="0"/>
        <v>-318309.88618379069</v>
      </c>
      <c r="F14" s="2">
        <f t="shared" si="5"/>
        <v>64</v>
      </c>
      <c r="G14" s="2" t="str">
        <f t="shared" si="1"/>
        <v>5+0,314159265358979i</v>
      </c>
      <c r="H14" s="2" t="str">
        <f t="shared" si="2"/>
        <v>5,01&lt;3,6°</v>
      </c>
      <c r="I14" s="2" t="str">
        <f t="shared" si="8"/>
        <v>64+1,25663706143592i</v>
      </c>
      <c r="J14" s="8" t="str">
        <f>ROUND(IMABS(IMDIV(B7,I14)),3) &amp; "&lt;" &amp; ROUND(DEGREES(IMARGUMENT(IMDIV(B7,I14))),2)</f>
        <v>0,375&lt;-1,12</v>
      </c>
      <c r="K14" s="2" t="str">
        <f>IMPRODUCT(B7,Q14)</f>
        <v>8,99826561008162</v>
      </c>
      <c r="L14" s="9">
        <f t="shared" si="6"/>
        <v>8.9965315543975066</v>
      </c>
      <c r="M14" s="2">
        <f t="shared" si="3"/>
        <v>0.17664648399427485</v>
      </c>
      <c r="N14" s="10">
        <f t="shared" si="7"/>
        <v>1.2566370614359172</v>
      </c>
      <c r="O14" s="10">
        <f>SQRT((SUM($C$11:C14)^2)+(SUM($D$11:D14)^2))</f>
        <v>64.012335816654698</v>
      </c>
      <c r="P14" s="10">
        <f>DEGREES(ATAN(SUM($D$11:D14)/SUM($C$11:C14)))</f>
        <v>1.1248554591503317</v>
      </c>
      <c r="Q14" s="10">
        <f t="shared" si="4"/>
        <v>0.37492773375340088</v>
      </c>
      <c r="R14" s="2"/>
      <c r="S14" s="2"/>
    </row>
    <row r="15" spans="1:19" x14ac:dyDescent="0.25">
      <c r="A15">
        <v>5</v>
      </c>
      <c r="B15">
        <v>5</v>
      </c>
      <c r="C15" s="2">
        <f>$B$4</f>
        <v>27</v>
      </c>
      <c r="D15" s="2">
        <f>2*PI()*$B$3*$B$5</f>
        <v>0.31415926535897931</v>
      </c>
      <c r="E15" s="2">
        <f t="shared" si="0"/>
        <v>-318309.88618379069</v>
      </c>
      <c r="F15" s="2">
        <f t="shared" si="5"/>
        <v>91</v>
      </c>
      <c r="G15" s="2" t="str">
        <f t="shared" si="1"/>
        <v>27+0,314159265358979i</v>
      </c>
      <c r="H15" s="2" t="str">
        <f t="shared" si="2"/>
        <v>27,002&lt;0,67°</v>
      </c>
      <c r="I15" s="2" t="str">
        <f t="shared" si="8"/>
        <v>91+1,5707963267949i</v>
      </c>
      <c r="J15" s="8" t="str">
        <f>ROUND(IMABS(IMDIV(B7,I15)),3) &amp; "&lt;" &amp; ROUND(DEGREES(IMARGUMENT(IMDIV(B7,I15))),2)</f>
        <v>0,264&lt;-0,99</v>
      </c>
      <c r="K15" s="2" t="str">
        <f>IMPRODUCT(B7,Q15)</f>
        <v>6,32872754822531</v>
      </c>
      <c r="L15" s="9">
        <f t="shared" si="6"/>
        <v>6.3277849072041663</v>
      </c>
      <c r="M15" s="2">
        <f t="shared" si="3"/>
        <v>0.10922704713169769</v>
      </c>
      <c r="N15" s="10">
        <f t="shared" si="7"/>
        <v>1.5707963267948966</v>
      </c>
      <c r="O15" s="10">
        <f>SQRT((SUM($C$11:C15)^2)+(SUM($D$11:D15)^2))</f>
        <v>91.013556139183308</v>
      </c>
      <c r="P15" s="10">
        <f>DEGREES(ATAN(SUM($D$11:D15)/SUM($C$11:C15)))</f>
        <v>0.98891277822197066</v>
      </c>
      <c r="Q15" s="10">
        <f t="shared" si="4"/>
        <v>0.2636969811760545</v>
      </c>
      <c r="R15" s="2"/>
      <c r="S15" s="2"/>
    </row>
    <row r="16" spans="1:19" x14ac:dyDescent="0.25">
      <c r="A16">
        <v>6</v>
      </c>
      <c r="B16">
        <v>6</v>
      </c>
      <c r="C16" s="2">
        <f>$G$4</f>
        <v>5</v>
      </c>
      <c r="D16" s="2">
        <f>2*PI()*$B$3*$G$5</f>
        <v>3.1415926535897931</v>
      </c>
      <c r="E16" s="2">
        <f t="shared" si="0"/>
        <v>-318309.88618379069</v>
      </c>
      <c r="F16" s="2">
        <f t="shared" si="5"/>
        <v>96</v>
      </c>
      <c r="G16" s="2" t="str">
        <f t="shared" si="1"/>
        <v>5+3,14159265358979i</v>
      </c>
      <c r="H16" s="2" t="str">
        <f t="shared" si="2"/>
        <v>5,905&lt;32,14°</v>
      </c>
      <c r="I16" s="2" t="str">
        <f t="shared" si="8"/>
        <v>96+4,71238898038469i</v>
      </c>
      <c r="J16" s="8" t="str">
        <f>ROUND(IMABS(IMDIV(B7,I16)),3) &amp; "&lt;" &amp; ROUND(DEGREES(IMARGUMENT(IMDIV(B7,I16))),2)</f>
        <v>0,25&lt;-2,81</v>
      </c>
      <c r="K16" s="2" t="str">
        <f>IMPRODUCT(B7,Q16)</f>
        <v>5,99278432323999</v>
      </c>
      <c r="L16" s="9">
        <f t="shared" si="6"/>
        <v>5.9855773241451589</v>
      </c>
      <c r="M16" s="2">
        <f t="shared" si="3"/>
        <v>0.29381633982856381</v>
      </c>
      <c r="N16" s="10">
        <f t="shared" si="7"/>
        <v>4.7123889803846897</v>
      </c>
      <c r="O16" s="10">
        <f>SQRT((SUM($C$11:C16)^2)+(SUM($D$11:D16)^2))</f>
        <v>96.115589837978163</v>
      </c>
      <c r="P16" s="10">
        <f>DEGREES(ATAN(SUM($D$11:D16)/SUM($C$11:C16)))</f>
        <v>2.8102442871084876</v>
      </c>
      <c r="Q16" s="10">
        <f t="shared" si="4"/>
        <v>0.24969934680166606</v>
      </c>
      <c r="R16" s="2"/>
      <c r="S16" s="2"/>
    </row>
    <row r="17" spans="1:19" x14ac:dyDescent="0.25">
      <c r="A17">
        <v>7</v>
      </c>
      <c r="B17">
        <v>7</v>
      </c>
      <c r="C17" s="2">
        <f>$B$4</f>
        <v>27</v>
      </c>
      <c r="D17" s="2">
        <f>2*PI()*$B$3*$B$5</f>
        <v>0.31415926535897931</v>
      </c>
      <c r="E17" s="2">
        <f t="shared" si="0"/>
        <v>-318309.88618379069</v>
      </c>
      <c r="F17" s="2">
        <f t="shared" si="5"/>
        <v>123</v>
      </c>
      <c r="G17" s="2" t="str">
        <f t="shared" si="1"/>
        <v>27+0,314159265358979i</v>
      </c>
      <c r="H17" s="2" t="str">
        <f t="shared" si="2"/>
        <v>27,002&lt;0,67°</v>
      </c>
      <c r="I17" s="2" t="str">
        <f t="shared" si="8"/>
        <v>123+5,02654824574367i</v>
      </c>
      <c r="J17" s="8" t="str">
        <f>ROUND(IMABS(IMDIV(B7,I17)),3) &amp; "&lt;" &amp; ROUND(DEGREES(IMARGUMENT(IMDIV(B7,I17))),2)</f>
        <v>0,195&lt;-2,34</v>
      </c>
      <c r="K17" s="2" t="str">
        <f>IMPRODUCT(B7,Q17)</f>
        <v>4,67902135923388</v>
      </c>
      <c r="L17" s="9">
        <f t="shared" si="6"/>
        <v>4.6751191462856339</v>
      </c>
      <c r="M17" s="2">
        <f t="shared" si="3"/>
        <v>0.19105456864556664</v>
      </c>
      <c r="N17" s="10">
        <f t="shared" si="7"/>
        <v>5.026548245743669</v>
      </c>
      <c r="O17" s="10">
        <f>SQRT((SUM($C$11:C17)^2)+(SUM($D$11:D17)^2))</f>
        <v>123.10266523218247</v>
      </c>
      <c r="P17" s="10">
        <f>DEGREES(ATAN(SUM($D$11:D17)/SUM($C$11:C17)))</f>
        <v>2.3401612654772102</v>
      </c>
      <c r="Q17" s="10">
        <f t="shared" si="4"/>
        <v>0.19495922330141174</v>
      </c>
      <c r="R17" s="2"/>
      <c r="S17" s="2"/>
    </row>
    <row r="18" spans="1:19" x14ac:dyDescent="0.25">
      <c r="A18">
        <v>8</v>
      </c>
      <c r="B18">
        <v>8</v>
      </c>
      <c r="C18" s="2">
        <f>$G$6</f>
        <v>3</v>
      </c>
      <c r="D18" s="2">
        <f>2*PI()*$B$3*$G$7</f>
        <v>3.1415926535897931</v>
      </c>
      <c r="E18" s="2">
        <f t="shared" si="0"/>
        <v>-318309.88618379069</v>
      </c>
      <c r="F18" s="2">
        <f t="shared" si="5"/>
        <v>126</v>
      </c>
      <c r="G18" s="2" t="str">
        <f t="shared" si="1"/>
        <v>3+3,14159265358979i</v>
      </c>
      <c r="H18" s="2" t="str">
        <f t="shared" si="2"/>
        <v>4,344&lt;46,32°</v>
      </c>
      <c r="I18" s="2" t="str">
        <f t="shared" si="8"/>
        <v>126+8,16814089933346i</v>
      </c>
      <c r="J18" s="8" t="str">
        <f>ROUND(IMABS(IMDIV(B7,I18)),3) &amp; "&lt;" &amp; ROUND(DEGREES(IMARGUMENT(IMDIV(B7,I18))),2)</f>
        <v>0,19&lt;-3,71</v>
      </c>
      <c r="K18" s="2" t="str">
        <f>IMPRODUCT(B7,Q18)</f>
        <v>4,56185307962597</v>
      </c>
      <c r="L18" s="9">
        <f t="shared" si="6"/>
        <v>4.5522976450203334</v>
      </c>
      <c r="M18" s="2">
        <f t="shared" si="3"/>
        <v>0.2951095919065872</v>
      </c>
      <c r="N18" s="10">
        <f t="shared" si="7"/>
        <v>8.1681408993334621</v>
      </c>
      <c r="O18" s="10">
        <f>SQRT((SUM($C$11:C18)^2)+(SUM($D$11:D18)^2))</f>
        <v>126.26447847970293</v>
      </c>
      <c r="P18" s="10">
        <f>DEGREES(ATAN(SUM($D$11:D18)/SUM($C$11:C18)))</f>
        <v>3.7090957276617482</v>
      </c>
      <c r="Q18" s="10">
        <f t="shared" si="4"/>
        <v>0.19007721165108213</v>
      </c>
      <c r="R18" s="2"/>
      <c r="S18" s="2"/>
    </row>
    <row r="19" spans="1:19" x14ac:dyDescent="0.25">
      <c r="A19">
        <v>9</v>
      </c>
      <c r="B19">
        <v>9</v>
      </c>
      <c r="C19" s="2">
        <f>$B$4</f>
        <v>27</v>
      </c>
      <c r="D19" s="2">
        <f>2*PI()*$B$3*$B$5</f>
        <v>0.31415926535897931</v>
      </c>
      <c r="E19" s="2">
        <f t="shared" si="0"/>
        <v>-318309.88618379069</v>
      </c>
      <c r="F19" s="2">
        <f t="shared" si="5"/>
        <v>153</v>
      </c>
      <c r="G19" s="2" t="str">
        <f t="shared" si="1"/>
        <v>27+0,314159265358979i</v>
      </c>
      <c r="H19" s="2" t="str">
        <f t="shared" si="2"/>
        <v>27,002&lt;0,67°</v>
      </c>
      <c r="I19" s="2" t="str">
        <f t="shared" si="8"/>
        <v>153+8,48230016469244i</v>
      </c>
      <c r="J19" s="8" t="str">
        <f>ROUND(IMABS(IMDIV(B7,I19)),3) &amp; "&lt;" &amp; ROUND(DEGREES(IMARGUMENT(IMDIV(B7,I19))),2)</f>
        <v>0,157&lt;-3,17</v>
      </c>
      <c r="K19" s="2" t="str">
        <f>IMPRODUCT(B7,Q19)</f>
        <v>3,75893362417507</v>
      </c>
      <c r="L19" s="9">
        <f t="shared" si="6"/>
        <v>3.7531702163471383</v>
      </c>
      <c r="M19" s="2">
        <f t="shared" si="3"/>
        <v>0.20807527022379149</v>
      </c>
      <c r="N19" s="10">
        <f t="shared" si="7"/>
        <v>8.4823001646924414</v>
      </c>
      <c r="O19" s="10">
        <f>SQRT((SUM($C$11:C19)^2)+(SUM($D$11:D19)^2))</f>
        <v>153.2349484160971</v>
      </c>
      <c r="P19" s="10">
        <f>DEGREES(ATAN(SUM($D$11:D19)/SUM($C$11:C19)))</f>
        <v>3.1732221986407851</v>
      </c>
      <c r="Q19" s="10">
        <f t="shared" si="4"/>
        <v>0.15662223434062797</v>
      </c>
      <c r="R19" s="2"/>
      <c r="S19" s="2"/>
    </row>
    <row r="20" spans="1:19" x14ac:dyDescent="0.25">
      <c r="A20">
        <v>10</v>
      </c>
      <c r="B20">
        <v>10</v>
      </c>
      <c r="C20" s="2">
        <f>$B$4</f>
        <v>27</v>
      </c>
      <c r="D20" s="2">
        <f>2*PI()*$B$3*$B$5</f>
        <v>0.31415926535897931</v>
      </c>
      <c r="E20" s="2">
        <f t="shared" si="0"/>
        <v>-318309.88618379069</v>
      </c>
      <c r="F20" s="2">
        <f t="shared" si="5"/>
        <v>180</v>
      </c>
      <c r="G20" s="2" t="str">
        <f t="shared" si="1"/>
        <v>27+0,314159265358979i</v>
      </c>
      <c r="H20" s="2" t="str">
        <f t="shared" si="2"/>
        <v>27,002&lt;0,67°</v>
      </c>
      <c r="I20" s="2" t="str">
        <f t="shared" si="8"/>
        <v>180+8,79645943005142i</v>
      </c>
      <c r="J20" s="8" t="str">
        <f>ROUND(IMABS(IMDIV(B7,I20)),3) &amp; "&lt;" &amp; ROUND(DEGREES(IMARGUMENT(IMDIV(B7,I20))),2)</f>
        <v>0,133&lt;-2,8</v>
      </c>
      <c r="K20" s="2" t="str">
        <f>IMPRODUCT(B7,Q20)</f>
        <v>3,19618570969585</v>
      </c>
      <c r="L20" s="9">
        <f t="shared" si="6"/>
        <v>3.1923759658949922</v>
      </c>
      <c r="M20" s="2">
        <f t="shared" si="3"/>
        <v>0.15600892038592507</v>
      </c>
      <c r="N20" s="10">
        <f t="shared" si="7"/>
        <v>8.7964594300514207</v>
      </c>
      <c r="O20" s="10">
        <f>SQRT((SUM($C$11:C20)^2)+(SUM($D$11:D20)^2))</f>
        <v>180.21480987561634</v>
      </c>
      <c r="P20" s="10">
        <f>DEGREES(ATAN(SUM($D$11:D20)/SUM($C$11:C20)))</f>
        <v>2.7977742013230404</v>
      </c>
      <c r="Q20" s="10">
        <f t="shared" si="4"/>
        <v>0.13317440457066054</v>
      </c>
      <c r="R20" s="2"/>
      <c r="S20" s="2"/>
    </row>
    <row r="21" spans="1:19" x14ac:dyDescent="0.25">
      <c r="C21" s="2"/>
      <c r="D21" s="2"/>
    </row>
    <row r="25" spans="1:19" x14ac:dyDescent="0.25">
      <c r="A25" s="3" t="s">
        <v>32</v>
      </c>
    </row>
    <row r="27" spans="1:19" x14ac:dyDescent="0.25">
      <c r="A27" t="s">
        <v>33</v>
      </c>
    </row>
    <row r="28" spans="1:19" x14ac:dyDescent="0.25">
      <c r="A28" t="s">
        <v>34</v>
      </c>
    </row>
    <row r="29" spans="1:19" x14ac:dyDescent="0.25">
      <c r="A29" t="s">
        <v>35</v>
      </c>
    </row>
    <row r="30" spans="1:19" x14ac:dyDescent="0.25">
      <c r="A30" t="s">
        <v>36</v>
      </c>
    </row>
    <row r="31" spans="1:19" x14ac:dyDescent="0.25">
      <c r="A31" t="s">
        <v>37</v>
      </c>
    </row>
    <row r="32" spans="1:19" x14ac:dyDescent="0.25">
      <c r="A32" t="s">
        <v>38</v>
      </c>
    </row>
    <row r="33" spans="1:1" x14ac:dyDescent="0.25">
      <c r="A33" t="s">
        <v>39</v>
      </c>
    </row>
    <row r="34" spans="1:1" x14ac:dyDescent="0.25">
      <c r="A34" t="s">
        <v>40</v>
      </c>
    </row>
    <row r="35" spans="1:1" x14ac:dyDescent="0.25">
      <c r="A35" t="s">
        <v>41</v>
      </c>
    </row>
    <row r="36" spans="1:1" x14ac:dyDescent="0.25">
      <c r="A36" t="s">
        <v>42</v>
      </c>
    </row>
  </sheetData>
  <dataValidations count="1">
    <dataValidation type="list" allowBlank="1" showInputMessage="1" showErrorMessage="1" sqref="E4 G4 E6 G6" xr:uid="{00000000-0002-0000-0000-000000000000}">
      <formula1>"0,1,2,3,4,5,6,7,8,9,10"</formula1>
      <formula2>0</formula2>
    </dataValidation>
  </dataValidations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zoomScaleNormal="100" workbookViewId="0"/>
  </sheetViews>
  <sheetFormatPr defaultColWidth="8.7109375" defaultRowHeight="15" x14ac:dyDescent="0.25"/>
  <cols>
    <col min="1" max="1" width="16" customWidth="1"/>
    <col min="2" max="2" width="14" customWidth="1"/>
    <col min="3" max="3" width="20" customWidth="1"/>
    <col min="4" max="4" width="16" customWidth="1"/>
  </cols>
  <sheetData>
    <row r="1" spans="1:4" ht="18.75" x14ac:dyDescent="0.3">
      <c r="A1" s="11" t="s">
        <v>43</v>
      </c>
    </row>
    <row r="2" spans="1:4" x14ac:dyDescent="0.25">
      <c r="A2" s="12" t="s">
        <v>44</v>
      </c>
    </row>
    <row r="4" spans="1:4" ht="31.5" customHeight="1" x14ac:dyDescent="0.25">
      <c r="A4" s="13" t="s">
        <v>45</v>
      </c>
      <c r="B4" s="13" t="s">
        <v>46</v>
      </c>
      <c r="C4" s="13" t="s">
        <v>47</v>
      </c>
      <c r="D4" s="13" t="s">
        <v>48</v>
      </c>
    </row>
    <row r="5" spans="1:4" x14ac:dyDescent="0.25">
      <c r="A5" s="14" t="s">
        <v>49</v>
      </c>
      <c r="B5" s="15">
        <v>6.45</v>
      </c>
      <c r="C5" s="16">
        <v>4.5</v>
      </c>
      <c r="D5" s="17">
        <f t="shared" ref="D5:D10" si="0">ROW()-ROW($A$5)</f>
        <v>0</v>
      </c>
    </row>
    <row r="6" spans="1:4" x14ac:dyDescent="0.25">
      <c r="A6" s="14" t="s">
        <v>50</v>
      </c>
      <c r="B6" s="15">
        <v>32.26</v>
      </c>
      <c r="C6" s="16">
        <v>0.86799999999999999</v>
      </c>
      <c r="D6" s="17">
        <f t="shared" si="0"/>
        <v>1</v>
      </c>
    </row>
    <row r="7" spans="1:4" x14ac:dyDescent="0.25">
      <c r="A7" s="14" t="s">
        <v>51</v>
      </c>
      <c r="B7" s="15">
        <v>64.52</v>
      </c>
      <c r="C7" s="16">
        <v>0.434</v>
      </c>
      <c r="D7" s="17">
        <f t="shared" si="0"/>
        <v>2</v>
      </c>
    </row>
    <row r="8" spans="1:4" x14ac:dyDescent="0.25">
      <c r="A8" s="14" t="s">
        <v>52</v>
      </c>
      <c r="B8" s="15">
        <v>150</v>
      </c>
      <c r="C8" s="16">
        <v>0.182</v>
      </c>
      <c r="D8" s="17">
        <f t="shared" si="0"/>
        <v>3</v>
      </c>
    </row>
    <row r="9" spans="1:4" x14ac:dyDescent="0.25">
      <c r="A9" s="14" t="s">
        <v>53</v>
      </c>
      <c r="B9" s="15">
        <v>290.89999999999998</v>
      </c>
      <c r="C9" s="16">
        <v>9.6500000000000002E-2</v>
      </c>
      <c r="D9" s="17">
        <f t="shared" si="0"/>
        <v>4</v>
      </c>
    </row>
    <row r="10" spans="1:4" x14ac:dyDescent="0.25">
      <c r="A10" s="14" t="s">
        <v>54</v>
      </c>
      <c r="B10" s="15">
        <v>428.9</v>
      </c>
      <c r="C10" s="16">
        <v>6.7500000000000004E-2</v>
      </c>
      <c r="D10" s="17">
        <f t="shared" si="0"/>
        <v>5</v>
      </c>
    </row>
    <row r="12" spans="1:4" x14ac:dyDescent="0.25">
      <c r="A12" s="12" t="s">
        <v>55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2"/>
  <sheetViews>
    <sheetView zoomScaleNormal="100" workbookViewId="0"/>
  </sheetViews>
  <sheetFormatPr defaultColWidth="8.7109375" defaultRowHeight="15" x14ac:dyDescent="0.25"/>
  <cols>
    <col min="1" max="1" width="52" customWidth="1"/>
    <col min="2" max="2" width="16" customWidth="1"/>
    <col min="3" max="3" width="26" customWidth="1"/>
    <col min="4" max="6" width="18" customWidth="1"/>
    <col min="7" max="7" width="24" customWidth="1"/>
    <col min="8" max="8" width="26" customWidth="1"/>
  </cols>
  <sheetData>
    <row r="1" spans="1:3" ht="18.75" x14ac:dyDescent="0.3">
      <c r="A1" s="11" t="s">
        <v>56</v>
      </c>
    </row>
    <row r="2" spans="1:3" x14ac:dyDescent="0.25">
      <c r="A2" s="12" t="s">
        <v>57</v>
      </c>
    </row>
    <row r="3" spans="1:3" x14ac:dyDescent="0.25">
      <c r="A3" s="18" t="s">
        <v>58</v>
      </c>
      <c r="B3" s="19">
        <f>IMABS('Engineering AC Model'!B7)</f>
        <v>24</v>
      </c>
      <c r="C3" s="12" t="s">
        <v>59</v>
      </c>
    </row>
    <row r="4" spans="1:3" x14ac:dyDescent="0.25">
      <c r="A4" s="18" t="s">
        <v>60</v>
      </c>
      <c r="B4" s="20">
        <v>460</v>
      </c>
      <c r="C4" s="12" t="s">
        <v>61</v>
      </c>
    </row>
    <row r="5" spans="1:3" x14ac:dyDescent="0.25">
      <c r="A5" s="18" t="s">
        <v>62</v>
      </c>
      <c r="B5" s="21">
        <v>0</v>
      </c>
      <c r="C5" s="12" t="s">
        <v>63</v>
      </c>
    </row>
    <row r="6" spans="1:3" x14ac:dyDescent="0.25">
      <c r="A6" s="18" t="s">
        <v>64</v>
      </c>
      <c r="B6" s="20">
        <v>1</v>
      </c>
      <c r="C6" s="12" t="s">
        <v>65</v>
      </c>
    </row>
    <row r="7" spans="1:3" x14ac:dyDescent="0.25">
      <c r="A7" s="18" t="s">
        <v>66</v>
      </c>
      <c r="B7" s="14" t="s">
        <v>49</v>
      </c>
      <c r="C7" s="12" t="s">
        <v>67</v>
      </c>
    </row>
    <row r="9" spans="1:3" x14ac:dyDescent="0.25">
      <c r="A9" s="22" t="s">
        <v>68</v>
      </c>
    </row>
    <row r="10" spans="1:3" x14ac:dyDescent="0.25">
      <c r="A10" s="18" t="s">
        <v>69</v>
      </c>
      <c r="B10" s="23">
        <v>0.1</v>
      </c>
      <c r="C10" s="12" t="s">
        <v>70</v>
      </c>
    </row>
    <row r="11" spans="1:3" x14ac:dyDescent="0.25">
      <c r="A11" s="18" t="s">
        <v>71</v>
      </c>
      <c r="B11" s="15">
        <v>1.3</v>
      </c>
      <c r="C11" s="12" t="s">
        <v>72</v>
      </c>
    </row>
    <row r="12" spans="1:3" x14ac:dyDescent="0.25">
      <c r="A12" s="18" t="s">
        <v>73</v>
      </c>
      <c r="B12" s="23">
        <v>0.3</v>
      </c>
      <c r="C12" s="12" t="s">
        <v>74</v>
      </c>
    </row>
    <row r="13" spans="1:3" x14ac:dyDescent="0.25">
      <c r="A13" s="18" t="s">
        <v>75</v>
      </c>
      <c r="B13" s="15">
        <v>3</v>
      </c>
      <c r="C13" s="12" t="s">
        <v>76</v>
      </c>
    </row>
    <row r="14" spans="1:3" x14ac:dyDescent="0.25">
      <c r="A14" s="18" t="s">
        <v>77</v>
      </c>
      <c r="B14" s="23">
        <v>0.02</v>
      </c>
      <c r="C14" s="12" t="s">
        <v>78</v>
      </c>
    </row>
    <row r="15" spans="1:3" x14ac:dyDescent="0.25">
      <c r="A15" s="18" t="s">
        <v>79</v>
      </c>
      <c r="B15" s="20">
        <v>5</v>
      </c>
      <c r="C15" s="12" t="s">
        <v>80</v>
      </c>
    </row>
    <row r="17" spans="1:8" x14ac:dyDescent="0.25">
      <c r="A17" s="22" t="s">
        <v>81</v>
      </c>
    </row>
    <row r="18" spans="1:8" ht="48" customHeight="1" x14ac:dyDescent="0.25">
      <c r="A18" s="13" t="s">
        <v>15</v>
      </c>
      <c r="B18" s="13" t="s">
        <v>82</v>
      </c>
      <c r="C18" s="13" t="s">
        <v>83</v>
      </c>
      <c r="D18" s="13" t="s">
        <v>84</v>
      </c>
      <c r="E18" s="13" t="s">
        <v>47</v>
      </c>
      <c r="F18" s="13" t="s">
        <v>85</v>
      </c>
      <c r="G18" s="13" t="s">
        <v>86</v>
      </c>
      <c r="H18" s="13" t="s">
        <v>87</v>
      </c>
    </row>
    <row r="19" spans="1:8" x14ac:dyDescent="0.25">
      <c r="A19" s="17">
        <v>1</v>
      </c>
      <c r="B19" s="20">
        <v>27</v>
      </c>
      <c r="C19" s="14"/>
      <c r="D19" s="24" t="str">
        <f>IF(C19="",$B$7,C19)</f>
        <v>MOLE</v>
      </c>
      <c r="E19" s="25">
        <f>INDEX(Conductors!$C$5:$C$10,MATCH(D19,Conductors!$A$5:$A$10,0))</f>
        <v>4.5</v>
      </c>
      <c r="F19" s="17">
        <f>IF(A19&gt;$B$5,1,0)</f>
        <v>1</v>
      </c>
      <c r="G19" s="26">
        <f>IF(F19=1,SUMPRODUCT(($A$19:$A$23&gt;$B$5)*($A$19:$A$23&lt;=A19)*$B$19:$B$23),0)</f>
        <v>27</v>
      </c>
      <c r="H19" s="27">
        <f>IF(G19&gt;0,$B$3/G19,0)</f>
        <v>0.88888888888888884</v>
      </c>
    </row>
    <row r="20" spans="1:8" x14ac:dyDescent="0.25">
      <c r="A20" s="17">
        <v>2</v>
      </c>
      <c r="B20" s="20">
        <v>27</v>
      </c>
      <c r="C20" s="14"/>
      <c r="D20" s="24" t="str">
        <f>IF(C20="",$B$7,C20)</f>
        <v>MOLE</v>
      </c>
      <c r="E20" s="25">
        <f>INDEX(Conductors!$C$5:$C$10,MATCH(D20,Conductors!$A$5:$A$10,0))</f>
        <v>4.5</v>
      </c>
      <c r="F20" s="17">
        <f>IF(A20&gt;$B$5,1,0)</f>
        <v>1</v>
      </c>
      <c r="G20" s="26">
        <f>IF(F20=1,SUMPRODUCT(($A$19:$A$23&gt;$B$5)*($A$19:$A$23&lt;=A20)*$B$19:$B$23),0)</f>
        <v>54</v>
      </c>
      <c r="H20" s="27">
        <f>IF(G20&gt;0,$B$3/G20,0)</f>
        <v>0.44444444444444442</v>
      </c>
    </row>
    <row r="21" spans="1:8" x14ac:dyDescent="0.25">
      <c r="A21" s="17">
        <v>3</v>
      </c>
      <c r="B21" s="20">
        <v>27</v>
      </c>
      <c r="C21" s="14"/>
      <c r="D21" s="24" t="str">
        <f>IF(C21="",$B$7,C21)</f>
        <v>MOLE</v>
      </c>
      <c r="E21" s="25">
        <f>INDEX(Conductors!$C$5:$C$10,MATCH(D21,Conductors!$A$5:$A$10,0))</f>
        <v>4.5</v>
      </c>
      <c r="F21" s="17">
        <f>IF(A21&gt;$B$5,1,0)</f>
        <v>1</v>
      </c>
      <c r="G21" s="26">
        <f>IF(F21=1,SUMPRODUCT(($A$19:$A$23&gt;$B$5)*($A$19:$A$23&lt;=A21)*$B$19:$B$23),0)</f>
        <v>81</v>
      </c>
      <c r="H21" s="27">
        <f>IF(G21&gt;0,$B$3/G21,0)</f>
        <v>0.29629629629629628</v>
      </c>
    </row>
    <row r="22" spans="1:8" x14ac:dyDescent="0.25">
      <c r="A22" s="17">
        <v>4</v>
      </c>
      <c r="B22" s="20">
        <v>27</v>
      </c>
      <c r="C22" s="14"/>
      <c r="D22" s="24" t="str">
        <f>IF(C22="",$B$7,C22)</f>
        <v>MOLE</v>
      </c>
      <c r="E22" s="25">
        <f>INDEX(Conductors!$C$5:$C$10,MATCH(D22,Conductors!$A$5:$A$10,0))</f>
        <v>4.5</v>
      </c>
      <c r="F22" s="17">
        <f>IF(A22&gt;$B$5,1,0)</f>
        <v>1</v>
      </c>
      <c r="G22" s="26">
        <f>IF(F22=1,SUMPRODUCT(($A$19:$A$23&gt;$B$5)*($A$19:$A$23&lt;=A22)*$B$19:$B$23),0)</f>
        <v>108</v>
      </c>
      <c r="H22" s="27">
        <f>IF(G22&gt;0,$B$3/G22,0)</f>
        <v>0.22222222222222221</v>
      </c>
    </row>
    <row r="23" spans="1:8" x14ac:dyDescent="0.25">
      <c r="A23" s="17">
        <v>5</v>
      </c>
      <c r="B23" s="20">
        <v>27</v>
      </c>
      <c r="C23" s="14"/>
      <c r="D23" s="24" t="str">
        <f>IF(C23="",$B$7,C23)</f>
        <v>MOLE</v>
      </c>
      <c r="E23" s="25">
        <f>INDEX(Conductors!$C$5:$C$10,MATCH(D23,Conductors!$A$5:$A$10,0))</f>
        <v>4.5</v>
      </c>
      <c r="F23" s="17">
        <f>IF(A23&gt;$B$5,1,0)</f>
        <v>1</v>
      </c>
      <c r="G23" s="26">
        <f>IF(F23=1,SUMPRODUCT(($A$19:$A$23&gt;$B$5)*($A$19:$A$23&lt;=A23)*$B$19:$B$23),0)</f>
        <v>135</v>
      </c>
      <c r="H23" s="27">
        <f>IF(G23&gt;0,$B$3/G23,0)</f>
        <v>0.17777777777777778</v>
      </c>
    </row>
    <row r="24" spans="1:8" x14ac:dyDescent="0.25">
      <c r="A24" s="12" t="s">
        <v>88</v>
      </c>
    </row>
    <row r="26" spans="1:8" x14ac:dyDescent="0.25">
      <c r="A26" s="22" t="s">
        <v>89</v>
      </c>
    </row>
    <row r="27" spans="1:8" x14ac:dyDescent="0.25">
      <c r="A27" s="18" t="s">
        <v>90</v>
      </c>
      <c r="B27" s="26">
        <f>SUMPRODUCT($F$19:$F$23,$B$19:$B$23)+$B$4</f>
        <v>595</v>
      </c>
    </row>
    <row r="28" spans="1:8" x14ac:dyDescent="0.25">
      <c r="A28" s="18" t="s">
        <v>91</v>
      </c>
      <c r="B28" s="25">
        <f>$B$3/B27</f>
        <v>4.0336134453781515E-2</v>
      </c>
    </row>
    <row r="29" spans="1:8" x14ac:dyDescent="0.25">
      <c r="A29" s="18" t="s">
        <v>92</v>
      </c>
      <c r="B29" s="27">
        <f>MAX($B$10,$B$11*B28)</f>
        <v>0.1</v>
      </c>
    </row>
    <row r="30" spans="1:8" x14ac:dyDescent="0.25">
      <c r="A30" s="18" t="s">
        <v>93</v>
      </c>
      <c r="B30" s="27">
        <f>MAX($B$12,$B$13*B28)</f>
        <v>0.3</v>
      </c>
    </row>
    <row r="31" spans="1:8" x14ac:dyDescent="0.25">
      <c r="A31" s="18" t="s">
        <v>94</v>
      </c>
      <c r="B31" s="17">
        <f>SUM($F$19:$F$23)</f>
        <v>5</v>
      </c>
    </row>
    <row r="32" spans="1:8" x14ac:dyDescent="0.25">
      <c r="A32" s="18" t="s">
        <v>95</v>
      </c>
      <c r="B32" s="24" t="str">
        <f>IF($B$5=0,"S1-S5 full coverage","S"&amp;($B$5+1)&amp;"-S5 (blind S1-S"&amp;$B$5&amp;")")</f>
        <v>S1-S5 full coverage</v>
      </c>
    </row>
  </sheetData>
  <dataValidations count="2">
    <dataValidation type="whole" showErrorMessage="1" errorTitle="Sensor position" error="Enter a whole number from 0 to 4." sqref="B5" xr:uid="{00000000-0002-0000-0200-000000000000}">
      <formula1>0</formula1>
      <formula2>4</formula2>
    </dataValidation>
    <dataValidation type="decimal" operator="greaterThan" showErrorMessage="1" errorTitle="Invalid value" error="Enter a number greater than 0." sqref="B4 B6 B19:B23" xr:uid="{00000000-0002-0000-0200-000001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ErrorMessage="1" errorTitle="Conductor" error="Pick a conductor from the Conductors sheet." xr:uid="{00000000-0002-0000-0200-000002000000}">
          <x14:formula1>
            <xm:f>Conductors!$A$5:$A$10</xm:f>
          </x14:formula1>
          <x14:formula2>
            <xm:f>0</xm:f>
          </x14:formula2>
          <xm:sqref>B7</xm:sqref>
        </x14:dataValidation>
        <x14:dataValidation type="list" allowBlank="1" showErrorMessage="1" errorTitle="Conductor" error="Pick a conductor or leave blank." xr:uid="{00000000-0002-0000-0200-000003000000}">
          <x14:formula1>
            <xm:f>Conductors!$A$5:$A$10</xm:f>
          </x14:formula1>
          <x14:formula2>
            <xm:f>0</xm:f>
          </x14:formula2>
          <xm:sqref>C19:C23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3"/>
  <sheetViews>
    <sheetView zoomScaleNormal="100" workbookViewId="0"/>
  </sheetViews>
  <sheetFormatPr defaultColWidth="8.7109375" defaultRowHeight="15" x14ac:dyDescent="0.25"/>
  <cols>
    <col min="1" max="1" width="50" customWidth="1"/>
    <col min="2" max="2" width="30" customWidth="1"/>
    <col min="3" max="10" width="20" customWidth="1"/>
  </cols>
  <sheetData>
    <row r="1" spans="1:3" ht="18.75" x14ac:dyDescent="0.3">
      <c r="A1" s="11" t="s">
        <v>96</v>
      </c>
    </row>
    <row r="2" spans="1:3" x14ac:dyDescent="0.25">
      <c r="A2" s="12" t="s">
        <v>97</v>
      </c>
    </row>
    <row r="4" spans="1:3" x14ac:dyDescent="0.25">
      <c r="A4" s="18" t="s">
        <v>98</v>
      </c>
      <c r="B4" s="15">
        <v>24</v>
      </c>
      <c r="C4" s="12" t="s">
        <v>99</v>
      </c>
    </row>
    <row r="5" spans="1:3" x14ac:dyDescent="0.25">
      <c r="A5" s="18" t="s">
        <v>100</v>
      </c>
      <c r="B5" s="16">
        <v>0.25</v>
      </c>
      <c r="C5" s="12" t="s">
        <v>99</v>
      </c>
    </row>
    <row r="7" spans="1:3" x14ac:dyDescent="0.25">
      <c r="A7" s="18" t="s">
        <v>101</v>
      </c>
      <c r="B7" s="24" t="str">
        <f>IF(B4&gt;='Line Setup'!B15,"YES","NO - SUPPLY LOST")</f>
        <v>YES</v>
      </c>
    </row>
    <row r="8" spans="1:3" x14ac:dyDescent="0.25">
      <c r="A8" s="18" t="s">
        <v>102</v>
      </c>
      <c r="B8" s="25">
        <f>B4/'Line Setup'!B27</f>
        <v>4.0336134453781515E-2</v>
      </c>
    </row>
    <row r="9" spans="1:3" x14ac:dyDescent="0.25">
      <c r="A9" s="18" t="s">
        <v>92</v>
      </c>
      <c r="B9" s="27">
        <f>MAX('Line Setup'!B10,'Line Setup'!B11*B8)</f>
        <v>0.1</v>
      </c>
    </row>
    <row r="10" spans="1:3" x14ac:dyDescent="0.25">
      <c r="A10" s="18" t="s">
        <v>93</v>
      </c>
      <c r="B10" s="27">
        <f>MAX('Line Setup'!B12,'Line Setup'!B13*B8)</f>
        <v>0.3</v>
      </c>
    </row>
    <row r="11" spans="1:3" x14ac:dyDescent="0.25">
      <c r="A11" s="18" t="s">
        <v>103</v>
      </c>
      <c r="B11" s="24" t="str">
        <f>IF(B4&lt;'Line Setup'!B15,"NO_SUPPLY",IF(B5&gt;=B10,"FAULT (fast trip)",IF(B5&gt;=B9,"SUSPECT (confirmed after delay)","NORMAL")))</f>
        <v>SUSPECT (confirmed after delay)</v>
      </c>
    </row>
    <row r="12" spans="1:3" x14ac:dyDescent="0.25">
      <c r="A12" s="18" t="s">
        <v>104</v>
      </c>
      <c r="B12" s="17">
        <f>IF(AND(B4&gt;='Line Setup'!B15,B5&gt;=B9),1,0)</f>
        <v>1</v>
      </c>
    </row>
    <row r="13" spans="1:3" x14ac:dyDescent="0.25">
      <c r="A13" s="18" t="s">
        <v>105</v>
      </c>
      <c r="B13" s="19">
        <f>IF(B5&gt;0,B4/B5,0)</f>
        <v>96</v>
      </c>
    </row>
    <row r="14" spans="1:3" x14ac:dyDescent="0.25">
      <c r="A14" s="18" t="s">
        <v>106</v>
      </c>
      <c r="B14" s="24" t="str">
        <f>IF(B5&gt;='Line Setup'!B14,"YES","NO - current too low")</f>
        <v>YES</v>
      </c>
    </row>
    <row r="16" spans="1:3" x14ac:dyDescent="0.25">
      <c r="A16" s="22" t="s">
        <v>107</v>
      </c>
    </row>
    <row r="17" spans="1:10" ht="48" customHeight="1" x14ac:dyDescent="0.25">
      <c r="A17" s="13" t="s">
        <v>15</v>
      </c>
      <c r="B17" s="13" t="s">
        <v>108</v>
      </c>
      <c r="C17" s="13" t="s">
        <v>45</v>
      </c>
      <c r="D17" s="13" t="s">
        <v>47</v>
      </c>
      <c r="E17" s="13" t="s">
        <v>82</v>
      </c>
      <c r="F17" s="13" t="s">
        <v>109</v>
      </c>
      <c r="G17" s="13" t="s">
        <v>110</v>
      </c>
      <c r="H17" s="13" t="s">
        <v>111</v>
      </c>
      <c r="I17" s="13" t="s">
        <v>112</v>
      </c>
      <c r="J17" s="13" t="s">
        <v>113</v>
      </c>
    </row>
    <row r="18" spans="1:10" x14ac:dyDescent="0.25">
      <c r="A18" s="17">
        <f>'Line Setup'!A19</f>
        <v>1</v>
      </c>
      <c r="B18" s="17">
        <f>'Line Setup'!F19</f>
        <v>1</v>
      </c>
      <c r="C18" s="24" t="str">
        <f>'Line Setup'!D19</f>
        <v>MOLE</v>
      </c>
      <c r="D18" s="25">
        <f>'Line Setup'!E19</f>
        <v>4.5</v>
      </c>
      <c r="E18" s="26">
        <f>'Line Setup'!B19</f>
        <v>27</v>
      </c>
      <c r="F18" s="26">
        <f>IF(B18=1,SUMPRODUCT(('Line Setup'!$A$19:$A$23&gt;'Line Setup'!$B$5)*('Line Setup'!$A$19:$A$23&lt;A18)*$E$18:$E$22),0)</f>
        <v>0</v>
      </c>
      <c r="G18" s="19">
        <f>IF(B18=1,MIN(MAX($B$13-F18,0),E18),0)</f>
        <v>27</v>
      </c>
      <c r="H18" s="27">
        <f>IF(B18=1,G18/(D18*'Line Setup'!$B$6),0)</f>
        <v>6</v>
      </c>
      <c r="I18" s="17">
        <f>IF(AND(B18=1,OR($B$13&lt;=F18+E18,A18=MAX($A$18:$A$22)),SUM(I$17:I17)=0),1,0)</f>
        <v>0</v>
      </c>
      <c r="J18" s="19">
        <f>IF(B18=1,ABS($B$13-(F18+E18)),1000000000)</f>
        <v>69</v>
      </c>
    </row>
    <row r="19" spans="1:10" x14ac:dyDescent="0.25">
      <c r="A19" s="17">
        <f>'Line Setup'!A20</f>
        <v>2</v>
      </c>
      <c r="B19" s="17">
        <f>'Line Setup'!F20</f>
        <v>1</v>
      </c>
      <c r="C19" s="24" t="str">
        <f>'Line Setup'!D20</f>
        <v>MOLE</v>
      </c>
      <c r="D19" s="25">
        <f>'Line Setup'!E20</f>
        <v>4.5</v>
      </c>
      <c r="E19" s="26">
        <f>'Line Setup'!B20</f>
        <v>27</v>
      </c>
      <c r="F19" s="26">
        <f>IF(B19=1,SUMPRODUCT(('Line Setup'!$A$19:$A$23&gt;'Line Setup'!$B$5)*('Line Setup'!$A$19:$A$23&lt;A19)*$E$18:$E$22),0)</f>
        <v>27</v>
      </c>
      <c r="G19" s="19">
        <f>IF(B19=1,MIN(MAX($B$13-F19,0),E19),0)</f>
        <v>27</v>
      </c>
      <c r="H19" s="27">
        <f>IF(B19=1,G19/(D19*'Line Setup'!$B$6),0)</f>
        <v>6</v>
      </c>
      <c r="I19" s="17">
        <f>IF(AND(B19=1,OR($B$13&lt;=F19+E19,A19=MAX($A$18:$A$22)),SUM(I$17:I18)=0),1,0)</f>
        <v>0</v>
      </c>
      <c r="J19" s="19">
        <f>IF(B19=1,ABS($B$13-(F19+E19)),1000000000)</f>
        <v>42</v>
      </c>
    </row>
    <row r="20" spans="1:10" x14ac:dyDescent="0.25">
      <c r="A20" s="17">
        <f>'Line Setup'!A21</f>
        <v>3</v>
      </c>
      <c r="B20" s="17">
        <f>'Line Setup'!F21</f>
        <v>1</v>
      </c>
      <c r="C20" s="24" t="str">
        <f>'Line Setup'!D21</f>
        <v>MOLE</v>
      </c>
      <c r="D20" s="25">
        <f>'Line Setup'!E21</f>
        <v>4.5</v>
      </c>
      <c r="E20" s="26">
        <f>'Line Setup'!B21</f>
        <v>27</v>
      </c>
      <c r="F20" s="26">
        <f>IF(B20=1,SUMPRODUCT(('Line Setup'!$A$19:$A$23&gt;'Line Setup'!$B$5)*('Line Setup'!$A$19:$A$23&lt;A20)*$E$18:$E$22),0)</f>
        <v>54</v>
      </c>
      <c r="G20" s="19">
        <f>IF(B20=1,MIN(MAX($B$13-F20,0),E20),0)</f>
        <v>27</v>
      </c>
      <c r="H20" s="27">
        <f>IF(B20=1,G20/(D20*'Line Setup'!$B$6),0)</f>
        <v>6</v>
      </c>
      <c r="I20" s="17">
        <f>IF(AND(B20=1,OR($B$13&lt;=F20+E20,A20=MAX($A$18:$A$22)),SUM(I$17:I19)=0),1,0)</f>
        <v>0</v>
      </c>
      <c r="J20" s="19">
        <f>IF(B20=1,ABS($B$13-(F20+E20)),1000000000)</f>
        <v>15</v>
      </c>
    </row>
    <row r="21" spans="1:10" x14ac:dyDescent="0.25">
      <c r="A21" s="17">
        <f>'Line Setup'!A22</f>
        <v>4</v>
      </c>
      <c r="B21" s="17">
        <f>'Line Setup'!F22</f>
        <v>1</v>
      </c>
      <c r="C21" s="24" t="str">
        <f>'Line Setup'!D22</f>
        <v>MOLE</v>
      </c>
      <c r="D21" s="25">
        <f>'Line Setup'!E22</f>
        <v>4.5</v>
      </c>
      <c r="E21" s="26">
        <f>'Line Setup'!B22</f>
        <v>27</v>
      </c>
      <c r="F21" s="26">
        <f>IF(B21=1,SUMPRODUCT(('Line Setup'!$A$19:$A$23&gt;'Line Setup'!$B$5)*('Line Setup'!$A$19:$A$23&lt;A21)*$E$18:$E$22),0)</f>
        <v>81</v>
      </c>
      <c r="G21" s="19">
        <f>IF(B21=1,MIN(MAX($B$13-F21,0),E21),0)</f>
        <v>15</v>
      </c>
      <c r="H21" s="27">
        <f>IF(B21=1,G21/(D21*'Line Setup'!$B$6),0)</f>
        <v>3.3333333333333335</v>
      </c>
      <c r="I21" s="17">
        <f>IF(AND(B21=1,OR($B$13&lt;=F21+E21,A21=MAX($A$18:$A$22)),SUM(I$17:I20)=0),1,0)</f>
        <v>1</v>
      </c>
      <c r="J21" s="19">
        <f>IF(B21=1,ABS($B$13-(F21+E21)),1000000000)</f>
        <v>12</v>
      </c>
    </row>
    <row r="22" spans="1:10" x14ac:dyDescent="0.25">
      <c r="A22" s="17">
        <f>'Line Setup'!A23</f>
        <v>5</v>
      </c>
      <c r="B22" s="17">
        <f>'Line Setup'!F23</f>
        <v>1</v>
      </c>
      <c r="C22" s="24" t="str">
        <f>'Line Setup'!D23</f>
        <v>MOLE</v>
      </c>
      <c r="D22" s="25">
        <f>'Line Setup'!E23</f>
        <v>4.5</v>
      </c>
      <c r="E22" s="26">
        <f>'Line Setup'!B23</f>
        <v>27</v>
      </c>
      <c r="F22" s="26">
        <f>IF(B22=1,SUMPRODUCT(('Line Setup'!$A$19:$A$23&gt;'Line Setup'!$B$5)*('Line Setup'!$A$19:$A$23&lt;A22)*$E$18:$E$22),0)</f>
        <v>108</v>
      </c>
      <c r="G22" s="19">
        <f>IF(B22=1,MIN(MAX($B$13-F22,0),E22),0)</f>
        <v>0</v>
      </c>
      <c r="H22" s="27">
        <f>IF(B22=1,G22/(D22*'Line Setup'!$B$6),0)</f>
        <v>0</v>
      </c>
      <c r="I22" s="17">
        <f>IF(AND(B22=1,OR($B$13&lt;=F22+E22,A22=MAX($A$18:$A$22)),SUM(I$17:I21)=0),1,0)</f>
        <v>0</v>
      </c>
      <c r="J22" s="19">
        <f>IF(B22=1,ABS($B$13-(F22+E22)),1000000000)</f>
        <v>39</v>
      </c>
    </row>
    <row r="24" spans="1:10" x14ac:dyDescent="0.25">
      <c r="A24" s="22" t="s">
        <v>114</v>
      </c>
    </row>
    <row r="25" spans="1:10" x14ac:dyDescent="0.25">
      <c r="A25" s="18" t="s">
        <v>115</v>
      </c>
      <c r="B25" s="28">
        <f>IF(B12=1,SUM(H18:H22),"no fault")</f>
        <v>21.333333333333332</v>
      </c>
    </row>
    <row r="26" spans="1:10" x14ac:dyDescent="0.25">
      <c r="A26" s="18" t="s">
        <v>116</v>
      </c>
      <c r="B26" s="26">
        <f>IF(B12=1,B25*1000,"no fault")</f>
        <v>21333.333333333332</v>
      </c>
    </row>
    <row r="27" spans="1:10" x14ac:dyDescent="0.25">
      <c r="A27" s="18" t="s">
        <v>117</v>
      </c>
      <c r="B27" s="17">
        <f>IF(B12=1,SUMPRODUCT(I18:I22,A18:A22),"-")</f>
        <v>4</v>
      </c>
    </row>
    <row r="28" spans="1:10" x14ac:dyDescent="0.25">
      <c r="A28" s="18" t="s">
        <v>118</v>
      </c>
      <c r="B28" s="24" t="str">
        <f>IF(B12=1,INDEX(C18:C22,B27),"-")</f>
        <v>MOLE</v>
      </c>
    </row>
    <row r="29" spans="1:10" x14ac:dyDescent="0.25">
      <c r="A29" s="18" t="s">
        <v>119</v>
      </c>
      <c r="B29" s="17">
        <f>IF(B12=1,MATCH(MIN(J18:J22),J18:J22,0),"-")</f>
        <v>4</v>
      </c>
    </row>
    <row r="30" spans="1:10" x14ac:dyDescent="0.25">
      <c r="A30" s="18" t="s">
        <v>120</v>
      </c>
      <c r="B30" s="29">
        <f>IF(B8&gt;0,B5/B8,0)</f>
        <v>6.1979166666666661</v>
      </c>
    </row>
    <row r="31" spans="1:10" x14ac:dyDescent="0.25">
      <c r="A31" s="18" t="s">
        <v>121</v>
      </c>
      <c r="B31" s="24" t="str">
        <f>IF(B12=1,IF(B13&gt;'Line Setup'!G23,"YES - distance clamped to line end","no"),"-")</f>
        <v>no</v>
      </c>
    </row>
    <row r="33" spans="1:1" x14ac:dyDescent="0.25">
      <c r="A33" s="12" t="s">
        <v>122</v>
      </c>
    </row>
  </sheetData>
  <dataValidations count="1">
    <dataValidation type="decimal" operator="greaterThanOrEqual" showErrorMessage="1" errorTitle="Invalid value" error="Enter a number of 0 or more." sqref="B4:B5" xr:uid="{00000000-0002-0000-0300-000000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3"/>
  <sheetViews>
    <sheetView zoomScaleNormal="100" workbookViewId="0"/>
  </sheetViews>
  <sheetFormatPr defaultColWidth="8.7109375" defaultRowHeight="15" x14ac:dyDescent="0.25"/>
  <cols>
    <col min="1" max="1" width="42" customWidth="1"/>
    <col min="2" max="8" width="20" customWidth="1"/>
  </cols>
  <sheetData>
    <row r="1" spans="1:6" ht="18.75" x14ac:dyDescent="0.3">
      <c r="A1" s="11" t="s">
        <v>123</v>
      </c>
    </row>
    <row r="2" spans="1:6" x14ac:dyDescent="0.25">
      <c r="A2" s="12" t="s">
        <v>124</v>
      </c>
    </row>
    <row r="4" spans="1:6" x14ac:dyDescent="0.25">
      <c r="A4" s="18" t="s">
        <v>125</v>
      </c>
      <c r="B4" s="19">
        <f>'Fault Locator'!B13</f>
        <v>96</v>
      </c>
    </row>
    <row r="5" spans="1:6" x14ac:dyDescent="0.25">
      <c r="A5" s="18" t="s">
        <v>126</v>
      </c>
      <c r="B5" s="19">
        <f>MIN(B4,'Line Setup'!G23)</f>
        <v>96</v>
      </c>
      <c r="C5" s="12" t="s">
        <v>127</v>
      </c>
    </row>
    <row r="6" spans="1:6" x14ac:dyDescent="0.25">
      <c r="A6" s="18" t="s">
        <v>104</v>
      </c>
      <c r="B6" s="17">
        <f>'Fault Locator'!B12</f>
        <v>1</v>
      </c>
    </row>
    <row r="8" spans="1:6" x14ac:dyDescent="0.25">
      <c r="A8" s="22" t="s">
        <v>128</v>
      </c>
    </row>
    <row r="9" spans="1:6" ht="48" customHeight="1" x14ac:dyDescent="0.25">
      <c r="A9" s="13" t="s">
        <v>45</v>
      </c>
      <c r="B9" s="13" t="s">
        <v>46</v>
      </c>
      <c r="C9" s="13" t="s">
        <v>47</v>
      </c>
      <c r="D9" s="13" t="s">
        <v>129</v>
      </c>
      <c r="E9" s="13" t="s">
        <v>130</v>
      </c>
      <c r="F9" s="13" t="s">
        <v>131</v>
      </c>
    </row>
    <row r="10" spans="1:6" x14ac:dyDescent="0.25">
      <c r="A10" s="24" t="str">
        <f>Conductors!A5</f>
        <v>MOLE</v>
      </c>
      <c r="B10" s="19">
        <f>Conductors!B5</f>
        <v>6.45</v>
      </c>
      <c r="C10" s="25">
        <f>Conductors!C5</f>
        <v>4.5</v>
      </c>
      <c r="D10" s="27">
        <f>IF($B$6=1,$B$5/(C10*'Line Setup'!$B$6),"no fault")</f>
        <v>21.333333333333332</v>
      </c>
      <c r="E10" s="26">
        <f t="shared" ref="E10:E15" si="0">IF($B$6=1,D10*1000,"no fault")</f>
        <v>21333.333333333332</v>
      </c>
      <c r="F10" s="27">
        <f>IF(ISNUMBER(D10),D10-'Fault Locator'!$B$25,"n/a")</f>
        <v>0</v>
      </c>
    </row>
    <row r="11" spans="1:6" x14ac:dyDescent="0.25">
      <c r="A11" s="24" t="str">
        <f>Conductors!A6</f>
        <v>RABBIT</v>
      </c>
      <c r="B11" s="19">
        <f>Conductors!B6</f>
        <v>32.26</v>
      </c>
      <c r="C11" s="25">
        <f>Conductors!C6</f>
        <v>0.86799999999999999</v>
      </c>
      <c r="D11" s="27">
        <f>IF($B$6=1,$B$5/(C11*'Line Setup'!$B$6),"no fault")</f>
        <v>110.59907834101382</v>
      </c>
      <c r="E11" s="26">
        <f t="shared" si="0"/>
        <v>110599.07834101382</v>
      </c>
      <c r="F11" s="27">
        <f>IF(ISNUMBER(D11),D11-'Fault Locator'!$B$25,"n/a")</f>
        <v>89.265745007680493</v>
      </c>
    </row>
    <row r="12" spans="1:6" x14ac:dyDescent="0.25">
      <c r="A12" s="24" t="str">
        <f>Conductors!A7</f>
        <v>DOG</v>
      </c>
      <c r="B12" s="19">
        <f>Conductors!B7</f>
        <v>64.52</v>
      </c>
      <c r="C12" s="25">
        <f>Conductors!C7</f>
        <v>0.434</v>
      </c>
      <c r="D12" s="27">
        <f>IF($B$6=1,$B$5/(C12*'Line Setup'!$B$6),"no fault")</f>
        <v>221.19815668202764</v>
      </c>
      <c r="E12" s="26">
        <f t="shared" si="0"/>
        <v>221198.15668202765</v>
      </c>
      <c r="F12" s="27">
        <f>IF(ISNUMBER(D12),D12-'Fault Locator'!$B$25,"n/a")</f>
        <v>199.8648233486943</v>
      </c>
    </row>
    <row r="13" spans="1:6" x14ac:dyDescent="0.25">
      <c r="A13" s="24" t="str">
        <f>Conductors!A8</f>
        <v>WOLF</v>
      </c>
      <c r="B13" s="19">
        <f>Conductors!B8</f>
        <v>150</v>
      </c>
      <c r="C13" s="25">
        <f>Conductors!C8</f>
        <v>0.182</v>
      </c>
      <c r="D13" s="27">
        <f>IF($B$6=1,$B$5/(C13*'Line Setup'!$B$6),"no fault")</f>
        <v>527.47252747252753</v>
      </c>
      <c r="E13" s="26">
        <f t="shared" si="0"/>
        <v>527472.52747252758</v>
      </c>
      <c r="F13" s="27">
        <f>IF(ISNUMBER(D13),D13-'Fault Locator'!$B$25,"n/a")</f>
        <v>506.13919413919422</v>
      </c>
    </row>
    <row r="14" spans="1:6" x14ac:dyDescent="0.25">
      <c r="A14" s="24" t="str">
        <f>Conductors!A9</f>
        <v>CANARY</v>
      </c>
      <c r="B14" s="19">
        <f>Conductors!B9</f>
        <v>290.89999999999998</v>
      </c>
      <c r="C14" s="25">
        <f>Conductors!C9</f>
        <v>9.6500000000000002E-2</v>
      </c>
      <c r="D14" s="27">
        <f>IF($B$6=1,$B$5/(C14*'Line Setup'!$B$6),"no fault")</f>
        <v>994.81865284974094</v>
      </c>
      <c r="E14" s="26">
        <f t="shared" si="0"/>
        <v>994818.65284974093</v>
      </c>
      <c r="F14" s="27">
        <f>IF(ISNUMBER(D14),D14-'Fault Locator'!$B$25,"n/a")</f>
        <v>973.48531951640757</v>
      </c>
    </row>
    <row r="15" spans="1:6" x14ac:dyDescent="0.25">
      <c r="A15" s="24" t="str">
        <f>Conductors!A10</f>
        <v>ZEBRA</v>
      </c>
      <c r="B15" s="19">
        <f>Conductors!B10</f>
        <v>428.9</v>
      </c>
      <c r="C15" s="25">
        <f>Conductors!C10</f>
        <v>6.7500000000000004E-2</v>
      </c>
      <c r="D15" s="27">
        <f>IF($B$6=1,$B$5/(C15*'Line Setup'!$B$6),"no fault")</f>
        <v>1422.2222222222222</v>
      </c>
      <c r="E15" s="26">
        <f t="shared" si="0"/>
        <v>1422222.2222222222</v>
      </c>
      <c r="F15" s="27">
        <f>IF(ISNUMBER(D15),D15-'Fault Locator'!$B$25,"n/a")</f>
        <v>1400.8888888888889</v>
      </c>
    </row>
    <row r="17" spans="1:8" x14ac:dyDescent="0.25">
      <c r="A17" s="22" t="s">
        <v>132</v>
      </c>
    </row>
    <row r="18" spans="1:8" ht="48" customHeight="1" x14ac:dyDescent="0.25">
      <c r="A18" s="13" t="s">
        <v>15</v>
      </c>
      <c r="B18" s="13" t="s">
        <v>86</v>
      </c>
      <c r="C18" s="13" t="str">
        <f>Conductors!A5</f>
        <v>MOLE</v>
      </c>
      <c r="D18" s="13" t="str">
        <f>Conductors!A6</f>
        <v>RABBIT</v>
      </c>
      <c r="E18" s="13" t="str">
        <f>Conductors!A7</f>
        <v>DOG</v>
      </c>
      <c r="F18" s="13" t="str">
        <f>Conductors!A8</f>
        <v>WOLF</v>
      </c>
      <c r="G18" s="13" t="str">
        <f>Conductors!A9</f>
        <v>CANARY</v>
      </c>
      <c r="H18" s="13" t="str">
        <f>Conductors!A10</f>
        <v>ZEBRA</v>
      </c>
    </row>
    <row r="19" spans="1:8" x14ac:dyDescent="0.25">
      <c r="A19" s="17">
        <f>'Line Setup'!A19</f>
        <v>1</v>
      </c>
      <c r="B19" s="26">
        <f>'Line Setup'!G19</f>
        <v>27</v>
      </c>
      <c r="C19" s="27">
        <f>IF($B19&gt;0,$B19/(Conductors!$C$5*'Line Setup'!$B$6),"-")</f>
        <v>6</v>
      </c>
      <c r="D19" s="27">
        <f>IF($B19&gt;0,$B19/(Conductors!$C$6*'Line Setup'!$B$6),"-")</f>
        <v>31.105990783410139</v>
      </c>
      <c r="E19" s="27">
        <f>IF($B19&gt;0,$B19/(Conductors!$C$7*'Line Setup'!$B$6),"-")</f>
        <v>62.211981566820278</v>
      </c>
      <c r="F19" s="27">
        <f>IF($B19&gt;0,$B19/(Conductors!$C$8*'Line Setup'!$B$6),"-")</f>
        <v>148.35164835164835</v>
      </c>
      <c r="G19" s="27">
        <f>IF($B19&gt;0,$B19/(Conductors!$C$9*'Line Setup'!$B$6),"-")</f>
        <v>279.79274611398961</v>
      </c>
      <c r="H19" s="27">
        <f>IF($B19&gt;0,$B19/(Conductors!$C$10*'Line Setup'!$B$6),"-")</f>
        <v>400</v>
      </c>
    </row>
    <row r="20" spans="1:8" x14ac:dyDescent="0.25">
      <c r="A20" s="17">
        <f>'Line Setup'!A20</f>
        <v>2</v>
      </c>
      <c r="B20" s="26">
        <f>'Line Setup'!G20</f>
        <v>54</v>
      </c>
      <c r="C20" s="27">
        <f>IF($B20&gt;0,$B20/(Conductors!$C$5*'Line Setup'!$B$6),"-")</f>
        <v>12</v>
      </c>
      <c r="D20" s="27">
        <f>IF($B20&gt;0,$B20/(Conductors!$C$6*'Line Setup'!$B$6),"-")</f>
        <v>62.211981566820278</v>
      </c>
      <c r="E20" s="27">
        <f>IF($B20&gt;0,$B20/(Conductors!$C$7*'Line Setup'!$B$6),"-")</f>
        <v>124.42396313364056</v>
      </c>
      <c r="F20" s="27">
        <f>IF($B20&gt;0,$B20/(Conductors!$C$8*'Line Setup'!$B$6),"-")</f>
        <v>296.7032967032967</v>
      </c>
      <c r="G20" s="27">
        <f>IF($B20&gt;0,$B20/(Conductors!$C$9*'Line Setup'!$B$6),"-")</f>
        <v>559.58549222797922</v>
      </c>
      <c r="H20" s="27">
        <f>IF($B20&gt;0,$B20/(Conductors!$C$10*'Line Setup'!$B$6),"-")</f>
        <v>800</v>
      </c>
    </row>
    <row r="21" spans="1:8" x14ac:dyDescent="0.25">
      <c r="A21" s="17">
        <f>'Line Setup'!A21</f>
        <v>3</v>
      </c>
      <c r="B21" s="26">
        <f>'Line Setup'!G21</f>
        <v>81</v>
      </c>
      <c r="C21" s="27">
        <f>IF($B21&gt;0,$B21/(Conductors!$C$5*'Line Setup'!$B$6),"-")</f>
        <v>18</v>
      </c>
      <c r="D21" s="27">
        <f>IF($B21&gt;0,$B21/(Conductors!$C$6*'Line Setup'!$B$6),"-")</f>
        <v>93.31797235023042</v>
      </c>
      <c r="E21" s="27">
        <f>IF($B21&gt;0,$B21/(Conductors!$C$7*'Line Setup'!$B$6),"-")</f>
        <v>186.63594470046084</v>
      </c>
      <c r="F21" s="27">
        <f>IF($B21&gt;0,$B21/(Conductors!$C$8*'Line Setup'!$B$6),"-")</f>
        <v>445.05494505494505</v>
      </c>
      <c r="G21" s="27">
        <f>IF($B21&gt;0,$B21/(Conductors!$C$9*'Line Setup'!$B$6),"-")</f>
        <v>839.37823834196888</v>
      </c>
      <c r="H21" s="27">
        <f>IF($B21&gt;0,$B21/(Conductors!$C$10*'Line Setup'!$B$6),"-")</f>
        <v>1200</v>
      </c>
    </row>
    <row r="22" spans="1:8" x14ac:dyDescent="0.25">
      <c r="A22" s="17">
        <f>'Line Setup'!A22</f>
        <v>4</v>
      </c>
      <c r="B22" s="26">
        <f>'Line Setup'!G22</f>
        <v>108</v>
      </c>
      <c r="C22" s="27">
        <f>IF($B22&gt;0,$B22/(Conductors!$C$5*'Line Setup'!$B$6),"-")</f>
        <v>24</v>
      </c>
      <c r="D22" s="27">
        <f>IF($B22&gt;0,$B22/(Conductors!$C$6*'Line Setup'!$B$6),"-")</f>
        <v>124.42396313364056</v>
      </c>
      <c r="E22" s="27">
        <f>IF($B22&gt;0,$B22/(Conductors!$C$7*'Line Setup'!$B$6),"-")</f>
        <v>248.84792626728111</v>
      </c>
      <c r="F22" s="27">
        <f>IF($B22&gt;0,$B22/(Conductors!$C$8*'Line Setup'!$B$6),"-")</f>
        <v>593.4065934065934</v>
      </c>
      <c r="G22" s="27">
        <f>IF($B22&gt;0,$B22/(Conductors!$C$9*'Line Setup'!$B$6),"-")</f>
        <v>1119.1709844559584</v>
      </c>
      <c r="H22" s="27">
        <f>IF($B22&gt;0,$B22/(Conductors!$C$10*'Line Setup'!$B$6),"-")</f>
        <v>1600</v>
      </c>
    </row>
    <row r="23" spans="1:8" x14ac:dyDescent="0.25">
      <c r="A23" s="17">
        <f>'Line Setup'!A23</f>
        <v>5</v>
      </c>
      <c r="B23" s="26">
        <f>'Line Setup'!G23</f>
        <v>135</v>
      </c>
      <c r="C23" s="27">
        <f>IF($B23&gt;0,$B23/(Conductors!$C$5*'Line Setup'!$B$6),"-")</f>
        <v>30</v>
      </c>
      <c r="D23" s="27">
        <f>IF($B23&gt;0,$B23/(Conductors!$C$6*'Line Setup'!$B$6),"-")</f>
        <v>155.5299539170507</v>
      </c>
      <c r="E23" s="27">
        <f>IF($B23&gt;0,$B23/(Conductors!$C$7*'Line Setup'!$B$6),"-")</f>
        <v>311.05990783410141</v>
      </c>
      <c r="F23" s="27">
        <f>IF($B23&gt;0,$B23/(Conductors!$C$8*'Line Setup'!$B$6),"-")</f>
        <v>741.75824175824175</v>
      </c>
      <c r="G23" s="27">
        <f>IF($B23&gt;0,$B23/(Conductors!$C$9*'Line Setup'!$B$6),"-")</f>
        <v>1398.9637305699482</v>
      </c>
      <c r="H23" s="27">
        <f>IF($B23&gt;0,$B23/(Conductors!$C$10*'Line Setup'!$B$6),"-")</f>
        <v>1999.9999999999998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9"/>
  <sheetViews>
    <sheetView zoomScaleNormal="100" workbookViewId="0"/>
  </sheetViews>
  <sheetFormatPr defaultColWidth="8.7109375" defaultRowHeight="15" x14ac:dyDescent="0.25"/>
  <cols>
    <col min="1" max="1" width="24" customWidth="1"/>
    <col min="2" max="2" width="120" customWidth="1"/>
  </cols>
  <sheetData>
    <row r="1" spans="1:2" ht="18.75" x14ac:dyDescent="0.3">
      <c r="A1" s="11" t="s">
        <v>133</v>
      </c>
    </row>
    <row r="3" spans="1:2" x14ac:dyDescent="0.25">
      <c r="A3" s="22" t="s">
        <v>134</v>
      </c>
    </row>
    <row r="4" spans="1:2" x14ac:dyDescent="0.25">
      <c r="A4" s="30" t="s">
        <v>135</v>
      </c>
      <c r="B4" s="31" t="s">
        <v>136</v>
      </c>
    </row>
    <row r="5" spans="1:2" x14ac:dyDescent="0.25">
      <c r="A5" s="30" t="s">
        <v>137</v>
      </c>
      <c r="B5" s="31" t="s">
        <v>138</v>
      </c>
    </row>
    <row r="6" spans="1:2" x14ac:dyDescent="0.25">
      <c r="A6" s="30" t="s">
        <v>139</v>
      </c>
      <c r="B6" s="31" t="s">
        <v>140</v>
      </c>
    </row>
    <row r="7" spans="1:2" x14ac:dyDescent="0.25">
      <c r="A7" s="30" t="s">
        <v>141</v>
      </c>
      <c r="B7" s="31" t="s">
        <v>142</v>
      </c>
    </row>
    <row r="8" spans="1:2" x14ac:dyDescent="0.25">
      <c r="A8" s="30" t="s">
        <v>143</v>
      </c>
      <c r="B8" s="31" t="s">
        <v>144</v>
      </c>
    </row>
    <row r="10" spans="1:2" x14ac:dyDescent="0.25">
      <c r="A10" s="22" t="s">
        <v>145</v>
      </c>
    </row>
    <row r="11" spans="1:2" ht="30" x14ac:dyDescent="0.25">
      <c r="A11" s="30" t="s">
        <v>146</v>
      </c>
      <c r="B11" s="31" t="s">
        <v>147</v>
      </c>
    </row>
    <row r="12" spans="1:2" x14ac:dyDescent="0.25">
      <c r="A12" s="30" t="s">
        <v>148</v>
      </c>
      <c r="B12" s="31" t="s">
        <v>149</v>
      </c>
    </row>
    <row r="13" spans="1:2" ht="30" x14ac:dyDescent="0.25">
      <c r="A13" s="30" t="s">
        <v>150</v>
      </c>
      <c r="B13" s="31" t="s">
        <v>151</v>
      </c>
    </row>
    <row r="14" spans="1:2" ht="30" x14ac:dyDescent="0.25">
      <c r="A14" s="30" t="s">
        <v>152</v>
      </c>
      <c r="B14" s="31" t="s">
        <v>153</v>
      </c>
    </row>
    <row r="16" spans="1:2" x14ac:dyDescent="0.25">
      <c r="A16" s="22" t="s">
        <v>154</v>
      </c>
    </row>
    <row r="17" spans="1:2" ht="30" x14ac:dyDescent="0.25">
      <c r="A17" s="30" t="s">
        <v>155</v>
      </c>
      <c r="B17" s="31" t="s">
        <v>156</v>
      </c>
    </row>
    <row r="18" spans="1:2" x14ac:dyDescent="0.25">
      <c r="A18" s="30" t="s">
        <v>157</v>
      </c>
      <c r="B18" s="31" t="s">
        <v>158</v>
      </c>
    </row>
    <row r="19" spans="1:2" ht="30" x14ac:dyDescent="0.25">
      <c r="A19" s="30" t="s">
        <v>159</v>
      </c>
      <c r="B19" s="31" t="s">
        <v>160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Engineering AC Model</vt:lpstr>
      <vt:lpstr>Conductors</vt:lpstr>
      <vt:lpstr>Line Setup</vt:lpstr>
      <vt:lpstr>Fault Locator</vt:lpstr>
      <vt:lpstr>Conductor Compare</vt:lpstr>
      <vt:lpstr>Project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Mthembu, Mthobisi, (Mr) (s225529599)</cp:lastModifiedBy>
  <cp:revision>0</cp:revision>
  <cp:lastPrinted>2026-07-20T09:12:20Z</cp:lastPrinted>
  <dcterms:created xsi:type="dcterms:W3CDTF">2026-05-10T09:25:17Z</dcterms:created>
  <dcterms:modified xsi:type="dcterms:W3CDTF">2026-10-28T08:10:02Z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0x0101007D44B8DA00E73B4BAE36F63C352C0B9D</vt:lpwstr>
  </property>
</Properties>
</file>